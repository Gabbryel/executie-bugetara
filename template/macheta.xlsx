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ristina.Pricope\Desktop\EXECUTII SPITALE\EXECUTII SPITALE 2025\"/>
    </mc:Choice>
  </mc:AlternateContent>
  <xr:revisionPtr revIDLastSave="0" documentId="13_ncr:1_{9211102B-822A-4B32-A5DA-266FC9E71250}" xr6:coauthVersionLast="47" xr6:coauthVersionMax="47" xr10:uidLastSave="{00000000-0000-0000-0000-000000000000}"/>
  <bookViews>
    <workbookView xWindow="-120" yWindow="-120" windowWidth="29040" windowHeight="15840" xr2:uid="{004054F1-1248-4519-8FCC-869F8D279FE3}"/>
  </bookViews>
  <sheets>
    <sheet name="BC" sheetId="1" r:id="rId1"/>
  </sheets>
  <definedNames>
    <definedName name="_xlnm._FilterDatabase" localSheetId="0" hidden="1">BC!$A$1:$J$128</definedName>
    <definedName name="_xlnm.Print_Titles" localSheetId="0">BC!$6:$7</definedName>
    <definedName name="_xlnm.Print_Area" localSheetId="0">BC!$A$1:$J$131</definedName>
  </definedNames>
  <calcPr fullCalcOnLoad="1"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<sst xmlns="http://schemas.openxmlformats.org/spreadsheetml/2006/main" count="198" uniqueCount="156">
  <si>
    <t>Spitalul …………………</t>
  </si>
  <si>
    <t>ANEXA</t>
  </si>
  <si>
    <t>Platile efectuate din FONDUL NATIONAL UNIC DE ASIGURARI SOCIALE DE SANATATE PE UNITATILE SANITARE CU PATURI</t>
  </si>
  <si>
    <t>mii  lei</t>
  </si>
  <si>
    <t>Subcap. alin.</t>
  </si>
  <si>
    <t>Titlu art.</t>
  </si>
  <si>
    <t>Alin.</t>
  </si>
  <si>
    <t>Denumirea indicatorilor</t>
  </si>
  <si>
    <t>Credite bugetare aprobate</t>
  </si>
  <si>
    <t>Credite de angajament</t>
  </si>
  <si>
    <t>Credite bugetare trimestriale cumulate</t>
  </si>
  <si>
    <t>Plati nete de casa cumulat din care :</t>
  </si>
  <si>
    <t>Luna curenta</t>
  </si>
  <si>
    <t>Cheltuieli efective</t>
  </si>
  <si>
    <t>II. CHELTUIELI - TOTAL</t>
  </si>
  <si>
    <t>.01.</t>
  </si>
  <si>
    <t>CHELTUIELI CURENTE</t>
  </si>
  <si>
    <t xml:space="preserve"> 10 TITLUL I CHELTUIELI DE PERSONAL (TOTAL 1+2+3+4), din care:</t>
  </si>
  <si>
    <t>1.Transferuri din bugetul fondului national unic de asigurări sociale de sănătate către unitățile sanitare pentru acoperirea creșterilor salariale</t>
  </si>
  <si>
    <t>2.CHELTUIELI DE PERSONAL - ( activitate curenta fara transferuri din FNUASS) , din care:</t>
  </si>
  <si>
    <t>Cheltuieli salariale in bani</t>
  </si>
  <si>
    <t>.01</t>
  </si>
  <si>
    <t>Salarii de baza</t>
  </si>
  <si>
    <t>.02</t>
  </si>
  <si>
    <t>Salarii de merit</t>
  </si>
  <si>
    <t>.03</t>
  </si>
  <si>
    <t>Indemnizatii de conducere</t>
  </si>
  <si>
    <t>.04</t>
  </si>
  <si>
    <t>Spor de vechime</t>
  </si>
  <si>
    <t>.05</t>
  </si>
  <si>
    <t>Sporuri pentru conditii de munca</t>
  </si>
  <si>
    <t>.06</t>
  </si>
  <si>
    <t>Alte sporuri</t>
  </si>
  <si>
    <t>.07</t>
  </si>
  <si>
    <t>Ore suplimentare</t>
  </si>
  <si>
    <t>.08</t>
  </si>
  <si>
    <t>Fond de premii</t>
  </si>
  <si>
    <t>.09</t>
  </si>
  <si>
    <t>Indemnizatie de vacanta</t>
  </si>
  <si>
    <t>.10</t>
  </si>
  <si>
    <t>Fond pentru posturi ocupate prin cumul</t>
  </si>
  <si>
    <t>.11</t>
  </si>
  <si>
    <t>Fond aferent platii cu ora</t>
  </si>
  <si>
    <t>.12</t>
  </si>
  <si>
    <t>Indemnizatii platite unor persoane din afara unitatii</t>
  </si>
  <si>
    <t>.13</t>
  </si>
  <si>
    <t>Indemnizatii de delegare</t>
  </si>
  <si>
    <t>.14</t>
  </si>
  <si>
    <t>Indemnizatii de detasare</t>
  </si>
  <si>
    <t>.15</t>
  </si>
  <si>
    <t>Alocatii pentru transportul la si de la locul de munca</t>
  </si>
  <si>
    <t>.16</t>
  </si>
  <si>
    <t>Alocatii pentru locuinte</t>
  </si>
  <si>
    <t>.17</t>
  </si>
  <si>
    <t>Indemnizatie de hrana</t>
  </si>
  <si>
    <t>Alte drepturi salariale in bani</t>
  </si>
  <si>
    <t>Cheltuieli salariale in natura</t>
  </si>
  <si>
    <t>Tichete de masa</t>
  </si>
  <si>
    <t>Norme de hrana</t>
  </si>
  <si>
    <t>Uniforme si echipament obligatoriu</t>
  </si>
  <si>
    <t>Vouchere de vacanta</t>
  </si>
  <si>
    <t>Alte drepturi salariale in natura</t>
  </si>
  <si>
    <t>Contributii, din care:</t>
  </si>
  <si>
    <t>Contributia asiguratorie pentru munca</t>
  </si>
  <si>
    <t>3.Sume pentru punerea în aplicare a dispoziţiilor art. 165 alin. ( 1^1)  - (1^3) din Legea nr. 95/2006 ( cf.modificarilor aduse prin Legea nr.109/2022)</t>
  </si>
  <si>
    <t>4. Vouchere de vacanta conform OUG nr.63/2023</t>
  </si>
  <si>
    <t>20 TITLUL II BUNURI SI SERVICII</t>
  </si>
  <si>
    <t xml:space="preserve">Bunuri si servicii </t>
  </si>
  <si>
    <t>Furnituri de birou</t>
  </si>
  <si>
    <t>Materiale de curatenie</t>
  </si>
  <si>
    <t>Iluminat, incalzit si forta motrica</t>
  </si>
  <si>
    <t>Apa, canal si salubritate</t>
  </si>
  <si>
    <t>Carburanti si lubrifianti</t>
  </si>
  <si>
    <t>Piese de schimb</t>
  </si>
  <si>
    <t xml:space="preserve">Transport  </t>
  </si>
  <si>
    <t>Posta, telecomunicatii, radio, tv, internet</t>
  </si>
  <si>
    <t>Materiale si prestari de servicii cu caracter functional</t>
  </si>
  <si>
    <t>Alte bunuri si servicii pentru intretinere si functionare</t>
  </si>
  <si>
    <t>Reparatii curente</t>
  </si>
  <si>
    <t>Hrana</t>
  </si>
  <si>
    <t>Hrana pentru oameni, din care:</t>
  </si>
  <si>
    <t xml:space="preserve">Hrana pentru oameni anterior Legii nr.133/2022 </t>
  </si>
  <si>
    <t>~ Suma corespunzatoare alocaţiei de hrană din unităţile sanitare publice care se asigură de la bugetul de stat, prin transferuri  din bugetul Ministerului Sănătăţii, către bugetul Fondului naţional unic de asigurări sociale de sănătate</t>
  </si>
  <si>
    <t>Hrana pentru animale</t>
  </si>
  <si>
    <t>Medicamente si materiale sanitare</t>
  </si>
  <si>
    <t xml:space="preserve">Medicamente </t>
  </si>
  <si>
    <t xml:space="preserve">Materiale sanitare </t>
  </si>
  <si>
    <t>Reactivi</t>
  </si>
  <si>
    <t>Dezinfectanti</t>
  </si>
  <si>
    <t>Bunuri de natura obiectelor de inventar</t>
  </si>
  <si>
    <t xml:space="preserve">Uniforme si echipament </t>
  </si>
  <si>
    <t>Lenjerie si accesorii de pat</t>
  </si>
  <si>
    <t>Alte obiecte de inventar</t>
  </si>
  <si>
    <t>Deplasari, detasari, transferari</t>
  </si>
  <si>
    <t>Deplasari interne, detasari, transferari</t>
  </si>
  <si>
    <t>Deplasari in strainatate</t>
  </si>
  <si>
    <t>Materiale de laborator</t>
  </si>
  <si>
    <t>Cercetare - dezvoltare</t>
  </si>
  <si>
    <t>Carti, publicatii si materiale documentare</t>
  </si>
  <si>
    <t>Consultanta si expertiza</t>
  </si>
  <si>
    <t>Pregatire profesionala</t>
  </si>
  <si>
    <t>Protectia muncii</t>
  </si>
  <si>
    <t>Cheltuieli judiciare si extrajudiciare pentru interesele statului</t>
  </si>
  <si>
    <t>Tichete cadou</t>
  </si>
  <si>
    <t>TOTAL Planul naţional de prevenire şi combatere a cancerului</t>
  </si>
  <si>
    <t xml:space="preserve">  ~ cheltuieli aferente desfăşurării operaţiunilor de eliminare a medicamentelor expirate şi/sau neutilizate provenite de la populaţie  conform art.2 din Ordin (MS) 2684/2024 cu modificarile si completarile ulterioare</t>
  </si>
  <si>
    <t>Sume pentru medicamente utilizate in programele nationale cu scop curativ care fac obiectul contractelor de tip COST VOLUM</t>
  </si>
  <si>
    <t>Programe de sanatate, total din care:</t>
  </si>
  <si>
    <t>Programul national de oncologie, din care:</t>
  </si>
  <si>
    <t>Subprogramul de tratament medicamentos al bolnavilor cu afectiuni oncologice (adulti si copii)</t>
  </si>
  <si>
    <t>Subprogramul de recontructie mamara dupa afectiuni oncologice prin endoprotezare</t>
  </si>
  <si>
    <t>Subprogramul de diagnostic si de monitorizare a afectiunilor hematologice maligne prin imunofenotipare, examen citogenetic si FISH si examen de biologie moleculara</t>
  </si>
  <si>
    <t>Subprogramul de radioterapie a bolnavilor cu afectiuni oncologice</t>
  </si>
  <si>
    <t xml:space="preserve"> Subprogramul de diagnostic genetic al tumorilor solide maligne  </t>
  </si>
  <si>
    <t>Subprogramul national de testare genetica</t>
  </si>
  <si>
    <t>Programul national  de diabet zaharat</t>
  </si>
  <si>
    <t>Programul national de transplant de organe, tesuturi si celule de origine umana</t>
  </si>
  <si>
    <t xml:space="preserve">Programul naţional de tratament pentru boli rare </t>
  </si>
  <si>
    <t>Programul naţional de tratament al bolilor neurologice</t>
  </si>
  <si>
    <t xml:space="preserve">Programul naţional de tratament al hemofiliei şi talasemiei </t>
  </si>
  <si>
    <t>Programul  national de tratament al surditatii prin proteze auditive implantabile (implant cohlear si proteze auditive)</t>
  </si>
  <si>
    <t>Programul national de boli endocrine</t>
  </si>
  <si>
    <t>Programul national de ortopedie</t>
  </si>
  <si>
    <t>Programul national de terapie intensiva a insuficientei hepatice</t>
  </si>
  <si>
    <t>Programul naţional de boli cardiovasculare</t>
  </si>
  <si>
    <t>Programul national de sanatate mintala</t>
  </si>
  <si>
    <t>Program naţional de diagnostic şi tratament cu ajutorul aparaturii de înaltă performanţă, din care:</t>
  </si>
  <si>
    <t xml:space="preserve">Subprogramul de radiologie intervenţională </t>
  </si>
  <si>
    <t xml:space="preserve">Subprogramul de diagnostic şi tratament al epilepsiei rezistente la tratamentul medicamentos </t>
  </si>
  <si>
    <t>Subprogramul de tratament al hidrocefaliei congenitale sau dobândite la copil</t>
  </si>
  <si>
    <t>Subprogramul de tratament al durerii neuropate prin implant de neurostimulator medular</t>
  </si>
  <si>
    <t>Programul national de supleere a functiei renale la bolnavii cu insuficienta renala cronica</t>
  </si>
  <si>
    <t>Programul national de PET-CT</t>
  </si>
  <si>
    <t>~Programul national de endometrioza</t>
  </si>
  <si>
    <t>~sume pentru punerea in aplicare a art. 1 alin (4) din OUG 15/2022  privind acordarea de sprijin şi asistenţă umanitară de către statul român cetăţenilor străini sau apatrizilor aflaţi în situaţii deosebite, proveniţi din zona conflictului armat din Ucraina, cu modificarile si completarile ulterioare</t>
  </si>
  <si>
    <t>Alte cheltuieli</t>
  </si>
  <si>
    <t>Reclama si publicitate</t>
  </si>
  <si>
    <t>Prime de asigurare non-viata</t>
  </si>
  <si>
    <t>Chirii</t>
  </si>
  <si>
    <t>Executarea silita a creantelor bugetare</t>
  </si>
  <si>
    <t>Alte cheltuieli cu bunuri si servicii</t>
  </si>
  <si>
    <t>59.TITLUL IX ALTE CHELTUIELI</t>
  </si>
  <si>
    <t>Despagubiri civile</t>
  </si>
  <si>
    <t>Sume aferente persoanelor cu handicap neincadrate</t>
  </si>
  <si>
    <t>70. CHELTUIELI DE CAPITAL</t>
  </si>
  <si>
    <t>71. TITLUL X ACTIVE NEFINANCIARE</t>
  </si>
  <si>
    <t>Active fixe ( inclusiv reparatii capitale )</t>
  </si>
  <si>
    <t>Constructii</t>
  </si>
  <si>
    <t>Masini, echipamente si mijloace de transport</t>
  </si>
  <si>
    <t>Mobilier, aparatura birotica si alte active corporale</t>
  </si>
  <si>
    <t>.30</t>
  </si>
  <si>
    <t>Alte active fixe ( inclusiv reparatii capitale )</t>
  </si>
  <si>
    <t>Reparatii capitale aferente activelor fixe</t>
  </si>
  <si>
    <t>Plati efectuate in anii precedenti si recuperate in anul curent</t>
  </si>
  <si>
    <t xml:space="preserve">Răspundem de corectitudinea datelor raportate </t>
  </si>
  <si>
    <t>luna DECEMBRIE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</si>
</sst>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7" x14ac:knownFonts="1">
    <font>
      <sz val="10"/>
      <name val="Arial"/>
    </font>
    <font>
      <b/>
      <sz val="10"/>
      <name val="Arial"/>
      <family val="2"/>
      <charset val="238"/>
    </font>
    <font>
      <b/>
      <i/>
      <sz val="10"/>
      <name val="Arial"/>
      <family val="2"/>
      <charset val="238"/>
    </font>
    <font>
      <sz val="10"/>
      <name val="Arial"/>
      <family val="2"/>
      <charset val="238"/>
    </font>
    <font>
      <b/>
      <u/>
      <sz val="10"/>
      <name val="Arial"/>
      <family val="2"/>
      <charset val="238"/>
    </font>
    <font>
      <i/>
      <sz val="10"/>
      <name val="Arial"/>
      <family val="2"/>
      <charset val="238"/>
    </font>
    <font>
      <b/>
      <sz val="10"/>
      <color rgb="FFFF0000"/>
      <name val="Arial"/>
      <family val="2"/>
      <charset val="238"/>
    </font>
    <font>
      <b/>
      <sz val="10"/>
      <color indexed="10"/>
      <name val="Arial"/>
      <family val="2"/>
      <charset val="238"/>
    </font>
    <font>
      <b/>
      <sz val="10"/>
      <name val="Arial"/>
      <family val="2"/>
    </font>
    <font>
      <b/>
      <sz val="10"/>
      <color indexed="8"/>
      <name val="Arial"/>
      <family val="2"/>
    </font>
    <font>
      <sz val="10"/>
      <color indexed="8"/>
      <name val="Arial"/>
      <family val="2"/>
      <charset val="238"/>
    </font>
    <font>
      <b/>
      <sz val="10"/>
      <color indexed="8"/>
      <name val="Arial"/>
      <family val="2"/>
      <charset val="238"/>
    </font>
    <font>
      <i/>
      <sz val="10"/>
      <color indexed="8"/>
      <name val="Arial"/>
      <family val="2"/>
      <charset val="238"/>
    </font>
    <font>
      <b/>
      <i/>
      <sz val="12"/>
      <name val="Arial"/>
      <family val="2"/>
      <charset val="238"/>
    </font>
    <font>
      <b/>
      <i/>
      <u/>
      <sz val="10"/>
      <name val="Arial"/>
      <family val="2"/>
      <charset val="238"/>
    </font>
    <font>
      <i/>
      <sz val="8"/>
      <name val="Arial"/>
      <family val="2"/>
      <charset val="238"/>
    </font>
    <font>
      <b/>
      <i/>
      <sz val="8"/>
      <name val="Arial"/>
      <family val="2"/>
      <charset val="238"/>
    </font>
  </fonts>
  <fills count="3">
    <fill>
      <patternFill patternType="none"/>
    </fill>
    <fill>
      <patternFill patternType="gray125"/>
    </fill>
    <fill>
      <patternFill patternType="solid">
        <fgColor rgb="FFFFFF00"/>
        <bgColor indexed="64"/>
      </patternFill>
    </fill>
  </fills>
  <borders count="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s>
  <cellStyleXfs count="3">
    <xf numFmtId="0" fontId="0" fillId="0" borderId="0"/>
    <xf numFmtId="0" fontId="3" fillId="0" borderId="0"/>
    <xf numFmtId="0" fontId="3" fillId="0" borderId="0"/>
  </cellStyleXfs>
  <cellXfs count="69">
    <xf numFmtId="0" fontId="0" fillId="0" borderId="0" xfId="0"/>
    <xf numFmtId="0" fontId="1" fillId="0" borderId="0" xfId="0" applyFont="1" applyProtection="1">
      <protection locked="0"/>
    </xf>
    <xf numFmtId="0" fontId="2" fillId="0" borderId="0" xfId="0" applyFont="1" applyAlignment="1" applyProtection="1">
      <alignment horizontal="center"/>
      <protection locked="0"/>
    </xf>
    <xf numFmtId="0" fontId="3" fillId="0" borderId="0" xfId="0" applyFont="1" applyProtection="1">
      <protection locked="0"/>
    </xf>
    <xf numFmtId="3" fontId="3" fillId="0" borderId="0" xfId="0" applyNumberFormat="1" applyFont="1" applyProtection="1">
      <protection locked="0"/>
    </xf>
    <xf numFmtId="3" fontId="2" fillId="0" borderId="0" xfId="0" applyNumberFormat="1" applyFont="1" applyProtection="1">
      <protection locked="0"/>
    </xf>
    <xf numFmtId="3" fontId="1" fillId="0" borderId="1" xfId="0" applyNumberFormat="1" applyFont="1" applyBorder="1" applyAlignment="1" applyProtection="1">
      <alignment horizontal="center" vertical="center" wrapText="1"/>
      <protection locked="0"/>
    </xf>
    <xf numFmtId="4" fontId="1" fillId="0" borderId="1" xfId="0" applyNumberFormat="1" applyFont="1" applyBorder="1" applyAlignment="1" applyProtection="1">
      <alignment horizontal="center" vertical="center" wrapText="1"/>
      <protection locked="0"/>
    </xf>
    <xf numFmtId="3" fontId="3" fillId="0" borderId="1" xfId="0" applyNumberFormat="1" applyFont="1" applyBorder="1" applyProtection="1">
      <protection locked="0"/>
    </xf>
    <xf numFmtId="3" fontId="1" fillId="0" borderId="1" xfId="0" applyNumberFormat="1" applyFont="1" applyBorder="1" applyAlignment="1" applyProtection="1">
      <alignment horizontal="center"/>
      <protection locked="0"/>
    </xf>
    <xf numFmtId="3" fontId="1" fillId="0" borderId="1" xfId="0" applyNumberFormat="1" applyFont="1" applyBorder="1" applyAlignment="1" applyProtection="1">
      <alignment horizontal="right"/>
      <protection locked="0"/>
    </xf>
    <xf numFmtId="3" fontId="1" fillId="0" borderId="1" xfId="0" applyNumberFormat="1" applyFont="1" applyBorder="1" applyProtection="1">
      <protection locked="0"/>
    </xf>
    <xf numFmtId="3" fontId="4" fillId="0" borderId="1" xfId="0" applyNumberFormat="1" applyFont="1" applyBorder="1" applyAlignment="1" applyProtection="1">
      <alignment horizontal="left" vertical="center" wrapText="1"/>
      <protection locked="0"/>
    </xf>
    <xf numFmtId="3" fontId="1" fillId="0" borderId="1" xfId="0" applyNumberFormat="1" applyFont="1" applyBorder="1" applyAlignment="1" applyProtection="1">
      <alignment horizontal="left" vertical="center" wrapText="1"/>
      <protection locked="0"/>
    </xf>
    <xf numFmtId="4" fontId="3" fillId="0" borderId="0" xfId="0" applyNumberFormat="1" applyFont="1" applyProtection="1">
      <protection locked="0"/>
    </xf>
    <xf numFmtId="3" fontId="5" fillId="0" borderId="1" xfId="0" applyNumberFormat="1" applyFont="1" applyBorder="1" applyProtection="1">
      <protection locked="0"/>
    </xf>
    <xf numFmtId="3" fontId="2" fillId="0" borderId="1" xfId="0" applyNumberFormat="1" applyFont="1" applyBorder="1" applyAlignment="1" applyProtection="1">
      <alignment horizontal="right"/>
      <protection locked="0"/>
    </xf>
    <xf numFmtId="3" fontId="5" fillId="0" borderId="1" xfId="0" applyNumberFormat="1" applyFont="1" applyBorder="1" applyAlignment="1" applyProtection="1">
      <alignment horizontal="right"/>
      <protection locked="0"/>
    </xf>
    <xf numFmtId="3" fontId="1" fillId="0" borderId="1" xfId="0" applyNumberFormat="1" applyFont="1" applyBorder="1" applyAlignment="1" applyProtection="1">
      <alignment vertical="center" wrapText="1"/>
      <protection locked="0"/>
    </xf>
    <xf numFmtId="0" fontId="5" fillId="0" borderId="0" xfId="0" applyFont="1" applyProtection="1">
      <protection locked="0"/>
    </xf>
    <xf numFmtId="0" fontId="3" fillId="0" borderId="0" xfId="0" applyFont="1" applyAlignment="1" applyProtection="1">
      <alignment vertical="center" wrapText="1"/>
      <protection locked="0"/>
    </xf>
    <xf numFmtId="3" fontId="3" fillId="0" borderId="1" xfId="0" applyNumberFormat="1" applyFont="1" applyBorder="1" applyAlignment="1" applyProtection="1">
      <alignment horizontal="right"/>
      <protection locked="0"/>
    </xf>
    <xf numFmtId="0" fontId="7" fillId="0" borderId="0" xfId="0" applyFont="1" applyAlignment="1" applyProtection="1">
      <alignment horizontal="center" vertical="center" wrapText="1"/>
      <protection locked="0"/>
    </xf>
    <xf numFmtId="3" fontId="8" fillId="0" borderId="2" xfId="0" applyNumberFormat="1" applyFont="1" applyBorder="1" applyAlignment="1" applyProtection="1">
      <alignment vertical="center" wrapText="1"/>
      <protection locked="0"/>
    </xf>
    <xf numFmtId="3" fontId="8" fillId="0" borderId="1" xfId="0" applyNumberFormat="1" applyFont="1" applyBorder="1" applyProtection="1">
      <protection locked="0"/>
    </xf>
    <xf numFmtId="3" fontId="8" fillId="0" borderId="1" xfId="0" applyNumberFormat="1" applyFont="1" applyBorder="1" applyAlignment="1" applyProtection="1">
      <alignment horizontal="right"/>
      <protection locked="0"/>
    </xf>
    <xf numFmtId="0" fontId="8" fillId="0" borderId="0" xfId="0" applyFont="1" applyProtection="1">
      <protection locked="0"/>
    </xf>
    <xf numFmtId="3" fontId="8" fillId="0" borderId="1" xfId="0" applyNumberFormat="1" applyFont="1" applyBorder="1" applyAlignment="1" applyProtection="1">
      <alignment horizontal="left" vertical="center" wrapText="1"/>
      <protection locked="0"/>
    </xf>
    <xf numFmtId="3" fontId="3" fillId="0" borderId="1" xfId="0" applyNumberFormat="1" applyFont="1" applyBorder="1" applyAlignment="1" applyProtection="1">
      <alignment horizontal="left" wrapText="1"/>
      <protection locked="0"/>
    </xf>
    <xf numFmtId="3" fontId="1" fillId="0" borderId="1" xfId="0" applyNumberFormat="1" applyFont="1" applyBorder="1" applyAlignment="1" applyProtection="1">
      <alignment horizontal="right" vertical="center"/>
      <protection locked="0"/>
    </xf>
    <xf numFmtId="3" fontId="1" fillId="0" borderId="1" xfId="0" applyNumberFormat="1" applyFont="1" applyBorder="1" applyAlignment="1" applyProtection="1">
      <alignment horizontal="left" wrapText="1"/>
      <protection locked="0"/>
    </xf>
    <xf numFmtId="3" fontId="3" fillId="0" borderId="1" xfId="0" applyNumberFormat="1" applyFont="1" applyBorder="1" applyAlignment="1" applyProtection="1">
      <alignment horizontal="right" vertical="center"/>
      <protection locked="0"/>
    </xf>
    <xf numFmtId="3" fontId="1" fillId="0" borderId="1" xfId="0" applyNumberFormat="1" applyFont="1" applyBorder="1" applyAlignment="1" applyProtection="1">
      <alignment horizontal="justify" wrapText="1"/>
      <protection locked="0"/>
    </xf>
    <xf numFmtId="3" fontId="1" fillId="0" borderId="1" xfId="0" applyNumberFormat="1" applyFont="1" applyBorder="1" applyAlignment="1" applyProtection="1">
      <alignment horizontal="justify" vertical="center" wrapText="1"/>
      <protection locked="0"/>
    </xf>
    <xf numFmtId="3" fontId="1" fillId="2" borderId="1" xfId="0" applyNumberFormat="1" applyFont="1" applyFill="1" applyBorder="1" applyAlignment="1" applyProtection="1">
      <alignment horizontal="left" vertical="center" wrapText="1"/>
      <protection locked="0"/>
    </xf>
    <xf numFmtId="0" fontId="3" fillId="0" borderId="1" xfId="0" applyFont="1" applyBorder="1" applyProtection="1">
      <protection locked="0"/>
    </xf>
    <xf numFmtId="0" fontId="1" fillId="0" borderId="1" xfId="0" applyFont="1" applyBorder="1" applyAlignment="1" applyProtection="1">
      <alignment horizontal="right"/>
      <protection locked="0"/>
    </xf>
    <xf numFmtId="4" fontId="9" fillId="2" borderId="1" xfId="0" applyNumberFormat="1" applyFont="1" applyFill="1" applyBorder="1" applyAlignment="1" applyProtection="1">
      <alignment vertical="center" wrapText="1"/>
      <protection locked="0"/>
    </xf>
    <xf numFmtId="4" fontId="10" fillId="2" borderId="1" xfId="0" applyNumberFormat="1" applyFont="1" applyFill="1" applyBorder="1" applyAlignment="1" applyProtection="1">
      <alignment vertical="center" wrapText="1"/>
      <protection locked="0"/>
    </xf>
    <xf numFmtId="4" fontId="9" fillId="0" borderId="1" xfId="0" applyNumberFormat="1" applyFont="1" applyBorder="1" applyAlignment="1" applyProtection="1">
      <alignment vertical="center" wrapText="1"/>
      <protection locked="0"/>
    </xf>
    <xf numFmtId="4" fontId="9" fillId="0" borderId="1" xfId="1" applyNumberFormat="1" applyFont="1" applyBorder="1" applyAlignment="1" applyProtection="1">
      <alignment horizontal="left" vertical="center" wrapText="1"/>
      <protection locked="0"/>
    </xf>
    <xf numFmtId="4" fontId="9" fillId="0" borderId="1" xfId="2" applyNumberFormat="1" applyFont="1" applyBorder="1" applyAlignment="1" applyProtection="1">
      <alignment vertical="center" wrapText="1"/>
      <protection locked="0"/>
    </xf>
    <xf numFmtId="0" fontId="1" fillId="0" borderId="1" xfId="0" applyFont="1" applyBorder="1" applyProtection="1">
      <protection locked="0"/>
    </xf>
    <xf numFmtId="4" fontId="11" fillId="0" borderId="1" xfId="0" applyNumberFormat="1" applyFont="1" applyBorder="1" applyAlignment="1" applyProtection="1">
      <alignment vertical="center" wrapText="1"/>
      <protection locked="0"/>
    </xf>
    <xf numFmtId="4" fontId="12" fillId="0" borderId="1" xfId="0" applyNumberFormat="1" applyFont="1" applyBorder="1" applyAlignment="1" applyProtection="1">
      <alignment vertical="center" wrapText="1"/>
      <protection locked="0"/>
    </xf>
    <xf numFmtId="0" fontId="3" fillId="0" borderId="2" xfId="0" applyFont="1" applyBorder="1" applyProtection="1">
      <protection locked="0"/>
    </xf>
    <xf numFmtId="4" fontId="9" fillId="0" borderId="2" xfId="0" applyNumberFormat="1" applyFont="1" applyBorder="1" applyAlignment="1" applyProtection="1">
      <alignment vertical="center" wrapText="1"/>
      <protection locked="0"/>
    </xf>
    <xf numFmtId="0" fontId="3" fillId="0" borderId="1" xfId="0" applyFont="1" applyBorder="1" applyAlignment="1" applyProtection="1">
      <alignment vertical="center" wrapText="1"/>
      <protection locked="0"/>
    </xf>
    <xf numFmtId="3" fontId="1" fillId="0" borderId="0" xfId="0" applyNumberFormat="1" applyFont="1" applyAlignment="1" applyProtection="1">
      <alignment horizontal="right"/>
      <protection locked="0"/>
    </xf>
    <xf numFmtId="3" fontId="3" fillId="0" borderId="0" xfId="0" applyNumberFormat="1" applyFont="1" applyAlignment="1" applyProtection="1">
      <alignment horizontal="right"/>
      <protection locked="0"/>
    </xf>
    <xf numFmtId="0" fontId="0" fillId="0" borderId="0" xfId="0" applyProtection="1">
      <protection locked="0"/>
    </xf>
    <xf numFmtId="3" fontId="1" fillId="0" borderId="0" xfId="0" applyNumberFormat="1" applyFont="1" applyProtection="1">
      <protection locked="0"/>
    </xf>
    <xf numFmtId="0" fontId="14" fillId="0" borderId="0" xfId="0" applyFont="1" applyProtection="1">
      <protection locked="0"/>
    </xf>
    <xf numFmtId="0" fontId="15" fillId="0" borderId="0" xfId="0" applyFont="1" applyProtection="1">
      <protection locked="0"/>
    </xf>
    <xf numFmtId="3" fontId="16" fillId="0" borderId="0" xfId="0" applyNumberFormat="1" applyFont="1" applyAlignment="1" applyProtection="1">
      <alignment horizontal="center"/>
      <protection locked="0"/>
    </xf>
    <xf numFmtId="0" fontId="16" fillId="0" borderId="0" xfId="0" applyFont="1" applyAlignment="1" applyProtection="1">
      <alignment horizontal="center"/>
      <protection locked="0"/>
    </xf>
    <xf numFmtId="3" fontId="8" fillId="0" borderId="2" xfId="0" applyNumberFormat="1" applyFont="1" applyBorder="1" applyAlignment="1" applyProtection="1">
      <alignment horizontal="center" vertical="center" wrapText="1"/>
      <protection locked="0"/>
    </xf>
    <xf numFmtId="3" fontId="8" fillId="0" borderId="3" xfId="0" applyNumberFormat="1" applyFont="1" applyBorder="1" applyAlignment="1" applyProtection="1">
      <alignment horizontal="center" vertical="center" wrapText="1"/>
      <protection locked="0"/>
    </xf>
    <xf numFmtId="3" fontId="13" fillId="0" borderId="4" xfId="0" applyNumberFormat="1" applyFont="1" applyBorder="1" applyAlignment="1" applyProtection="1">
      <alignment horizontal="left" vertical="center"/>
      <protection locked="0"/>
    </xf>
    <xf numFmtId="0" fontId="6" fillId="0" borderId="0" xfId="0" applyFont="1" applyAlignment="1" applyProtection="1">
      <alignment horizontal="center" vertical="center" wrapText="1"/>
      <protection locked="0"/>
    </xf>
    <xf numFmtId="0" fontId="1" fillId="0" borderId="0" xfId="0" applyFont="1" applyAlignment="1" applyProtection="1">
      <alignment horizontal="left"/>
      <protection locked="0"/>
    </xf>
    <xf numFmtId="3" fontId="1" fillId="0" borderId="0" xfId="0" applyNumberFormat="1" applyFont="1" applyAlignment="1" applyProtection="1">
      <alignment horizontal="center" vertical="center" wrapText="1"/>
      <protection locked="0"/>
    </xf>
    <xf numFmtId="49" fontId="1" fillId="0" borderId="0" xfId="0" applyNumberFormat="1" applyFont="1" applyAlignment="1" applyProtection="1">
      <alignment horizontal="center"/>
      <protection locked="0"/>
    </xf>
    <xf numFmtId="0" fontId="3" fillId="0" borderId="0" xfId="0" applyFont="1" applyAlignment="1" applyProtection="1">
      <alignment horizontal="center" vertical="center" wrapText="1"/>
      <protection locked="0"/>
    </xf>
    <xf numFmtId="0" fontId="6" fillId="0" borderId="0" xfId="0" applyFont="1" applyAlignment="1" applyProtection="1">
      <alignment horizontal="center"/>
      <protection locked="0"/>
    </xf>
    <xf numFmtId="164" fontId="3" fillId="0" borderId="1" xfId="0" applyNumberFormat="1" applyFont="1" applyBorder="1" applyProtection="1">
      <protection locked="0"/>
    </xf>
    <xf numFmtId="164" fontId="1" fillId="2" borderId="1" xfId="0" applyNumberFormat="1" applyFont="1" applyFill="1" applyBorder="1" applyProtection="1"/>
    <xf numFmtId="164" fontId="5" fillId="2" borderId="1" xfId="0" applyNumberFormat="1" applyFont="1" applyFill="1" applyBorder="1" applyProtection="1"/>
    <xf numFmtId="164" fontId="8" fillId="2" borderId="1" xfId="0" applyNumberFormat="1" applyFont="1" applyFill="1" applyBorder="1" applyProtection="1"/>
  </cellXfs>
  <cellStyles count="3">
    <cellStyle name="Normal" xfId="0" builtinId="0"/>
    <cellStyle name="Normal_buget" xfId="1" xr:uid="{794DA4C5-298A-4860-AA17-E46B73FDB441}"/>
    <cellStyle name="Normal_Foaie1" xfId="2" xr:uid="{B0D8765D-24C4-430F-9B60-5118BFDF6A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ă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5B6E3-6BD0-4416-B124-48F4B23F6121}">
  <dimension ref="A1:P132"/>
  <sheetViews>
    <sheetView tabSelected="1" zoomScale="130" zoomScaleNormal="130" workbookViewId="0">
      <selection activeCell="E13" sqref="E13 E32 E38"/>
    </sheetView>
  </sheetViews>
  <sheetFormatPr defaultRowHeight="12.75" x14ac:dyDescent="0.2"/>
  <cols>
    <col min="1" max="1" width="7.42578125" style="3" customWidth="1"/>
    <col min="2" max="2" width="6.28515625" style="3" customWidth="1"/>
    <col min="3" max="3" width="5.140625" style="3" bestFit="1" customWidth="1"/>
    <col min="4" max="4" width="49" style="3" customWidth="1"/>
    <col min="5" max="5" width="10.7109375" style="3" customWidth="1"/>
    <col min="6" max="6" width="15" style="3" customWidth="1"/>
    <col min="7" max="7" width="12" style="3" customWidth="1"/>
    <col min="8" max="8" width="11.28515625" style="3" customWidth="1"/>
    <col min="9" max="9" width="9.140625" style="3"/>
    <col min="10" max="10" width="10" style="3" customWidth="1"/>
    <col min="11" max="12" width="9.140625" style="3"/>
    <col min="13" max="13" width="32.28515625" style="3" customWidth="1"/>
    <col min="14" max="14" width="33.42578125" style="3" customWidth="1"/>
    <col min="15" max="256" width="9.140625" style="3"/>
    <col min="257" max="257" width="7.42578125" style="3" customWidth="1"/>
    <col min="258" max="258" width="6.28515625" style="3" customWidth="1"/>
    <col min="259" max="259" width="5.140625" style="3" bestFit="1" customWidth="1"/>
    <col min="260" max="260" width="49" style="3" customWidth="1"/>
    <col min="261" max="261" width="10.7109375" style="3" customWidth="1"/>
    <col min="262" max="262" width="15" style="3" customWidth="1"/>
    <col min="263" max="263" width="12" style="3" customWidth="1"/>
    <col min="264" max="264" width="11.28515625" style="3" customWidth="1"/>
    <col min="265" max="265" width="9.140625" style="3"/>
    <col min="266" max="266" width="10" style="3" customWidth="1"/>
    <col min="267" max="268" width="9.140625" style="3"/>
    <col min="269" max="269" width="32.28515625" style="3" customWidth="1"/>
    <col min="270" max="270" width="33.42578125" style="3" customWidth="1"/>
    <col min="271" max="512" width="9.140625" style="3"/>
    <col min="513" max="513" width="7.42578125" style="3" customWidth="1"/>
    <col min="514" max="514" width="6.28515625" style="3" customWidth="1"/>
    <col min="515" max="515" width="5.140625" style="3" bestFit="1" customWidth="1"/>
    <col min="516" max="516" width="49" style="3" customWidth="1"/>
    <col min="517" max="517" width="10.7109375" style="3" customWidth="1"/>
    <col min="518" max="518" width="15" style="3" customWidth="1"/>
    <col min="519" max="519" width="12" style="3" customWidth="1"/>
    <col min="520" max="520" width="11.28515625" style="3" customWidth="1"/>
    <col min="521" max="521" width="9.140625" style="3"/>
    <col min="522" max="522" width="10" style="3" customWidth="1"/>
    <col min="523" max="524" width="9.140625" style="3"/>
    <col min="525" max="525" width="32.28515625" style="3" customWidth="1"/>
    <col min="526" max="526" width="33.42578125" style="3" customWidth="1"/>
    <col min="527" max="768" width="9.140625" style="3"/>
    <col min="769" max="769" width="7.42578125" style="3" customWidth="1"/>
    <col min="770" max="770" width="6.28515625" style="3" customWidth="1"/>
    <col min="771" max="771" width="5.140625" style="3" bestFit="1" customWidth="1"/>
    <col min="772" max="772" width="49" style="3" customWidth="1"/>
    <col min="773" max="773" width="10.7109375" style="3" customWidth="1"/>
    <col min="774" max="774" width="15" style="3" customWidth="1"/>
    <col min="775" max="775" width="12" style="3" customWidth="1"/>
    <col min="776" max="776" width="11.28515625" style="3" customWidth="1"/>
    <col min="777" max="777" width="9.140625" style="3"/>
    <col min="778" max="778" width="10" style="3" customWidth="1"/>
    <col min="779" max="780" width="9.140625" style="3"/>
    <col min="781" max="781" width="32.28515625" style="3" customWidth="1"/>
    <col min="782" max="782" width="33.42578125" style="3" customWidth="1"/>
    <col min="783" max="1024" width="9.140625" style="3"/>
    <col min="1025" max="1025" width="7.42578125" style="3" customWidth="1"/>
    <col min="1026" max="1026" width="6.28515625" style="3" customWidth="1"/>
    <col min="1027" max="1027" width="5.140625" style="3" bestFit="1" customWidth="1"/>
    <col min="1028" max="1028" width="49" style="3" customWidth="1"/>
    <col min="1029" max="1029" width="10.7109375" style="3" customWidth="1"/>
    <col min="1030" max="1030" width="15" style="3" customWidth="1"/>
    <col min="1031" max="1031" width="12" style="3" customWidth="1"/>
    <col min="1032" max="1032" width="11.28515625" style="3" customWidth="1"/>
    <col min="1033" max="1033" width="9.140625" style="3"/>
    <col min="1034" max="1034" width="10" style="3" customWidth="1"/>
    <col min="1035" max="1036" width="9.140625" style="3"/>
    <col min="1037" max="1037" width="32.28515625" style="3" customWidth="1"/>
    <col min="1038" max="1038" width="33.42578125" style="3" customWidth="1"/>
    <col min="1039" max="1280" width="9.140625" style="3"/>
    <col min="1281" max="1281" width="7.42578125" style="3" customWidth="1"/>
    <col min="1282" max="1282" width="6.28515625" style="3" customWidth="1"/>
    <col min="1283" max="1283" width="5.140625" style="3" bestFit="1" customWidth="1"/>
    <col min="1284" max="1284" width="49" style="3" customWidth="1"/>
    <col min="1285" max="1285" width="10.7109375" style="3" customWidth="1"/>
    <col min="1286" max="1286" width="15" style="3" customWidth="1"/>
    <col min="1287" max="1287" width="12" style="3" customWidth="1"/>
    <col min="1288" max="1288" width="11.28515625" style="3" customWidth="1"/>
    <col min="1289" max="1289" width="9.140625" style="3"/>
    <col min="1290" max="1290" width="10" style="3" customWidth="1"/>
    <col min="1291" max="1292" width="9.140625" style="3"/>
    <col min="1293" max="1293" width="32.28515625" style="3" customWidth="1"/>
    <col min="1294" max="1294" width="33.42578125" style="3" customWidth="1"/>
    <col min="1295" max="1536" width="9.140625" style="3"/>
    <col min="1537" max="1537" width="7.42578125" style="3" customWidth="1"/>
    <col min="1538" max="1538" width="6.28515625" style="3" customWidth="1"/>
    <col min="1539" max="1539" width="5.140625" style="3" bestFit="1" customWidth="1"/>
    <col min="1540" max="1540" width="49" style="3" customWidth="1"/>
    <col min="1541" max="1541" width="10.7109375" style="3" customWidth="1"/>
    <col min="1542" max="1542" width="15" style="3" customWidth="1"/>
    <col min="1543" max="1543" width="12" style="3" customWidth="1"/>
    <col min="1544" max="1544" width="11.28515625" style="3" customWidth="1"/>
    <col min="1545" max="1545" width="9.140625" style="3"/>
    <col min="1546" max="1546" width="10" style="3" customWidth="1"/>
    <col min="1547" max="1548" width="9.140625" style="3"/>
    <col min="1549" max="1549" width="32.28515625" style="3" customWidth="1"/>
    <col min="1550" max="1550" width="33.42578125" style="3" customWidth="1"/>
    <col min="1551" max="1792" width="9.140625" style="3"/>
    <col min="1793" max="1793" width="7.42578125" style="3" customWidth="1"/>
    <col min="1794" max="1794" width="6.28515625" style="3" customWidth="1"/>
    <col min="1795" max="1795" width="5.140625" style="3" bestFit="1" customWidth="1"/>
    <col min="1796" max="1796" width="49" style="3" customWidth="1"/>
    <col min="1797" max="1797" width="10.7109375" style="3" customWidth="1"/>
    <col min="1798" max="1798" width="15" style="3" customWidth="1"/>
    <col min="1799" max="1799" width="12" style="3" customWidth="1"/>
    <col min="1800" max="1800" width="11.28515625" style="3" customWidth="1"/>
    <col min="1801" max="1801" width="9.140625" style="3"/>
    <col min="1802" max="1802" width="10" style="3" customWidth="1"/>
    <col min="1803" max="1804" width="9.140625" style="3"/>
    <col min="1805" max="1805" width="32.28515625" style="3" customWidth="1"/>
    <col min="1806" max="1806" width="33.42578125" style="3" customWidth="1"/>
    <col min="1807" max="2048" width="9.140625" style="3"/>
    <col min="2049" max="2049" width="7.42578125" style="3" customWidth="1"/>
    <col min="2050" max="2050" width="6.28515625" style="3" customWidth="1"/>
    <col min="2051" max="2051" width="5.140625" style="3" bestFit="1" customWidth="1"/>
    <col min="2052" max="2052" width="49" style="3" customWidth="1"/>
    <col min="2053" max="2053" width="10.7109375" style="3" customWidth="1"/>
    <col min="2054" max="2054" width="15" style="3" customWidth="1"/>
    <col min="2055" max="2055" width="12" style="3" customWidth="1"/>
    <col min="2056" max="2056" width="11.28515625" style="3" customWidth="1"/>
    <col min="2057" max="2057" width="9.140625" style="3"/>
    <col min="2058" max="2058" width="10" style="3" customWidth="1"/>
    <col min="2059" max="2060" width="9.140625" style="3"/>
    <col min="2061" max="2061" width="32.28515625" style="3" customWidth="1"/>
    <col min="2062" max="2062" width="33.42578125" style="3" customWidth="1"/>
    <col min="2063" max="2304" width="9.140625" style="3"/>
    <col min="2305" max="2305" width="7.42578125" style="3" customWidth="1"/>
    <col min="2306" max="2306" width="6.28515625" style="3" customWidth="1"/>
    <col min="2307" max="2307" width="5.140625" style="3" bestFit="1" customWidth="1"/>
    <col min="2308" max="2308" width="49" style="3" customWidth="1"/>
    <col min="2309" max="2309" width="10.7109375" style="3" customWidth="1"/>
    <col min="2310" max="2310" width="15" style="3" customWidth="1"/>
    <col min="2311" max="2311" width="12" style="3" customWidth="1"/>
    <col min="2312" max="2312" width="11.28515625" style="3" customWidth="1"/>
    <col min="2313" max="2313" width="9.140625" style="3"/>
    <col min="2314" max="2314" width="10" style="3" customWidth="1"/>
    <col min="2315" max="2316" width="9.140625" style="3"/>
    <col min="2317" max="2317" width="32.28515625" style="3" customWidth="1"/>
    <col min="2318" max="2318" width="33.42578125" style="3" customWidth="1"/>
    <col min="2319" max="2560" width="9.140625" style="3"/>
    <col min="2561" max="2561" width="7.42578125" style="3" customWidth="1"/>
    <col min="2562" max="2562" width="6.28515625" style="3" customWidth="1"/>
    <col min="2563" max="2563" width="5.140625" style="3" bestFit="1" customWidth="1"/>
    <col min="2564" max="2564" width="49" style="3" customWidth="1"/>
    <col min="2565" max="2565" width="10.7109375" style="3" customWidth="1"/>
    <col min="2566" max="2566" width="15" style="3" customWidth="1"/>
    <col min="2567" max="2567" width="12" style="3" customWidth="1"/>
    <col min="2568" max="2568" width="11.28515625" style="3" customWidth="1"/>
    <col min="2569" max="2569" width="9.140625" style="3"/>
    <col min="2570" max="2570" width="10" style="3" customWidth="1"/>
    <col min="2571" max="2572" width="9.140625" style="3"/>
    <col min="2573" max="2573" width="32.28515625" style="3" customWidth="1"/>
    <col min="2574" max="2574" width="33.42578125" style="3" customWidth="1"/>
    <col min="2575" max="2816" width="9.140625" style="3"/>
    <col min="2817" max="2817" width="7.42578125" style="3" customWidth="1"/>
    <col min="2818" max="2818" width="6.28515625" style="3" customWidth="1"/>
    <col min="2819" max="2819" width="5.140625" style="3" bestFit="1" customWidth="1"/>
    <col min="2820" max="2820" width="49" style="3" customWidth="1"/>
    <col min="2821" max="2821" width="10.7109375" style="3" customWidth="1"/>
    <col min="2822" max="2822" width="15" style="3" customWidth="1"/>
    <col min="2823" max="2823" width="12" style="3" customWidth="1"/>
    <col min="2824" max="2824" width="11.28515625" style="3" customWidth="1"/>
    <col min="2825" max="2825" width="9.140625" style="3"/>
    <col min="2826" max="2826" width="10" style="3" customWidth="1"/>
    <col min="2827" max="2828" width="9.140625" style="3"/>
    <col min="2829" max="2829" width="32.28515625" style="3" customWidth="1"/>
    <col min="2830" max="2830" width="33.42578125" style="3" customWidth="1"/>
    <col min="2831" max="3072" width="9.140625" style="3"/>
    <col min="3073" max="3073" width="7.42578125" style="3" customWidth="1"/>
    <col min="3074" max="3074" width="6.28515625" style="3" customWidth="1"/>
    <col min="3075" max="3075" width="5.140625" style="3" bestFit="1" customWidth="1"/>
    <col min="3076" max="3076" width="49" style="3" customWidth="1"/>
    <col min="3077" max="3077" width="10.7109375" style="3" customWidth="1"/>
    <col min="3078" max="3078" width="15" style="3" customWidth="1"/>
    <col min="3079" max="3079" width="12" style="3" customWidth="1"/>
    <col min="3080" max="3080" width="11.28515625" style="3" customWidth="1"/>
    <col min="3081" max="3081" width="9.140625" style="3"/>
    <col min="3082" max="3082" width="10" style="3" customWidth="1"/>
    <col min="3083" max="3084" width="9.140625" style="3"/>
    <col min="3085" max="3085" width="32.28515625" style="3" customWidth="1"/>
    <col min="3086" max="3086" width="33.42578125" style="3" customWidth="1"/>
    <col min="3087" max="3328" width="9.140625" style="3"/>
    <col min="3329" max="3329" width="7.42578125" style="3" customWidth="1"/>
    <col min="3330" max="3330" width="6.28515625" style="3" customWidth="1"/>
    <col min="3331" max="3331" width="5.140625" style="3" bestFit="1" customWidth="1"/>
    <col min="3332" max="3332" width="49" style="3" customWidth="1"/>
    <col min="3333" max="3333" width="10.7109375" style="3" customWidth="1"/>
    <col min="3334" max="3334" width="15" style="3" customWidth="1"/>
    <col min="3335" max="3335" width="12" style="3" customWidth="1"/>
    <col min="3336" max="3336" width="11.28515625" style="3" customWidth="1"/>
    <col min="3337" max="3337" width="9.140625" style="3"/>
    <col min="3338" max="3338" width="10" style="3" customWidth="1"/>
    <col min="3339" max="3340" width="9.140625" style="3"/>
    <col min="3341" max="3341" width="32.28515625" style="3" customWidth="1"/>
    <col min="3342" max="3342" width="33.42578125" style="3" customWidth="1"/>
    <col min="3343" max="3584" width="9.140625" style="3"/>
    <col min="3585" max="3585" width="7.42578125" style="3" customWidth="1"/>
    <col min="3586" max="3586" width="6.28515625" style="3" customWidth="1"/>
    <col min="3587" max="3587" width="5.140625" style="3" bestFit="1" customWidth="1"/>
    <col min="3588" max="3588" width="49" style="3" customWidth="1"/>
    <col min="3589" max="3589" width="10.7109375" style="3" customWidth="1"/>
    <col min="3590" max="3590" width="15" style="3" customWidth="1"/>
    <col min="3591" max="3591" width="12" style="3" customWidth="1"/>
    <col min="3592" max="3592" width="11.28515625" style="3" customWidth="1"/>
    <col min="3593" max="3593" width="9.140625" style="3"/>
    <col min="3594" max="3594" width="10" style="3" customWidth="1"/>
    <col min="3595" max="3596" width="9.140625" style="3"/>
    <col min="3597" max="3597" width="32.28515625" style="3" customWidth="1"/>
    <col min="3598" max="3598" width="33.42578125" style="3" customWidth="1"/>
    <col min="3599" max="3840" width="9.140625" style="3"/>
    <col min="3841" max="3841" width="7.42578125" style="3" customWidth="1"/>
    <col min="3842" max="3842" width="6.28515625" style="3" customWidth="1"/>
    <col min="3843" max="3843" width="5.140625" style="3" bestFit="1" customWidth="1"/>
    <col min="3844" max="3844" width="49" style="3" customWidth="1"/>
    <col min="3845" max="3845" width="10.7109375" style="3" customWidth="1"/>
    <col min="3846" max="3846" width="15" style="3" customWidth="1"/>
    <col min="3847" max="3847" width="12" style="3" customWidth="1"/>
    <col min="3848" max="3848" width="11.28515625" style="3" customWidth="1"/>
    <col min="3849" max="3849" width="9.140625" style="3"/>
    <col min="3850" max="3850" width="10" style="3" customWidth="1"/>
    <col min="3851" max="3852" width="9.140625" style="3"/>
    <col min="3853" max="3853" width="32.28515625" style="3" customWidth="1"/>
    <col min="3854" max="3854" width="33.42578125" style="3" customWidth="1"/>
    <col min="3855" max="4096" width="9.140625" style="3"/>
    <col min="4097" max="4097" width="7.42578125" style="3" customWidth="1"/>
    <col min="4098" max="4098" width="6.28515625" style="3" customWidth="1"/>
    <col min="4099" max="4099" width="5.140625" style="3" bestFit="1" customWidth="1"/>
    <col min="4100" max="4100" width="49" style="3" customWidth="1"/>
    <col min="4101" max="4101" width="10.7109375" style="3" customWidth="1"/>
    <col min="4102" max="4102" width="15" style="3" customWidth="1"/>
    <col min="4103" max="4103" width="12" style="3" customWidth="1"/>
    <col min="4104" max="4104" width="11.28515625" style="3" customWidth="1"/>
    <col min="4105" max="4105" width="9.140625" style="3"/>
    <col min="4106" max="4106" width="10" style="3" customWidth="1"/>
    <col min="4107" max="4108" width="9.140625" style="3"/>
    <col min="4109" max="4109" width="32.28515625" style="3" customWidth="1"/>
    <col min="4110" max="4110" width="33.42578125" style="3" customWidth="1"/>
    <col min="4111" max="4352" width="9.140625" style="3"/>
    <col min="4353" max="4353" width="7.42578125" style="3" customWidth="1"/>
    <col min="4354" max="4354" width="6.28515625" style="3" customWidth="1"/>
    <col min="4355" max="4355" width="5.140625" style="3" bestFit="1" customWidth="1"/>
    <col min="4356" max="4356" width="49" style="3" customWidth="1"/>
    <col min="4357" max="4357" width="10.7109375" style="3" customWidth="1"/>
    <col min="4358" max="4358" width="15" style="3" customWidth="1"/>
    <col min="4359" max="4359" width="12" style="3" customWidth="1"/>
    <col min="4360" max="4360" width="11.28515625" style="3" customWidth="1"/>
    <col min="4361" max="4361" width="9.140625" style="3"/>
    <col min="4362" max="4362" width="10" style="3" customWidth="1"/>
    <col min="4363" max="4364" width="9.140625" style="3"/>
    <col min="4365" max="4365" width="32.28515625" style="3" customWidth="1"/>
    <col min="4366" max="4366" width="33.42578125" style="3" customWidth="1"/>
    <col min="4367" max="4608" width="9.140625" style="3"/>
    <col min="4609" max="4609" width="7.42578125" style="3" customWidth="1"/>
    <col min="4610" max="4610" width="6.28515625" style="3" customWidth="1"/>
    <col min="4611" max="4611" width="5.140625" style="3" bestFit="1" customWidth="1"/>
    <col min="4612" max="4612" width="49" style="3" customWidth="1"/>
    <col min="4613" max="4613" width="10.7109375" style="3" customWidth="1"/>
    <col min="4614" max="4614" width="15" style="3" customWidth="1"/>
    <col min="4615" max="4615" width="12" style="3" customWidth="1"/>
    <col min="4616" max="4616" width="11.28515625" style="3" customWidth="1"/>
    <col min="4617" max="4617" width="9.140625" style="3"/>
    <col min="4618" max="4618" width="10" style="3" customWidth="1"/>
    <col min="4619" max="4620" width="9.140625" style="3"/>
    <col min="4621" max="4621" width="32.28515625" style="3" customWidth="1"/>
    <col min="4622" max="4622" width="33.42578125" style="3" customWidth="1"/>
    <col min="4623" max="4864" width="9.140625" style="3"/>
    <col min="4865" max="4865" width="7.42578125" style="3" customWidth="1"/>
    <col min="4866" max="4866" width="6.28515625" style="3" customWidth="1"/>
    <col min="4867" max="4867" width="5.140625" style="3" bestFit="1" customWidth="1"/>
    <col min="4868" max="4868" width="49" style="3" customWidth="1"/>
    <col min="4869" max="4869" width="10.7109375" style="3" customWidth="1"/>
    <col min="4870" max="4870" width="15" style="3" customWidth="1"/>
    <col min="4871" max="4871" width="12" style="3" customWidth="1"/>
    <col min="4872" max="4872" width="11.28515625" style="3" customWidth="1"/>
    <col min="4873" max="4873" width="9.140625" style="3"/>
    <col min="4874" max="4874" width="10" style="3" customWidth="1"/>
    <col min="4875" max="4876" width="9.140625" style="3"/>
    <col min="4877" max="4877" width="32.28515625" style="3" customWidth="1"/>
    <col min="4878" max="4878" width="33.42578125" style="3" customWidth="1"/>
    <col min="4879" max="5120" width="9.140625" style="3"/>
    <col min="5121" max="5121" width="7.42578125" style="3" customWidth="1"/>
    <col min="5122" max="5122" width="6.28515625" style="3" customWidth="1"/>
    <col min="5123" max="5123" width="5.140625" style="3" bestFit="1" customWidth="1"/>
    <col min="5124" max="5124" width="49" style="3" customWidth="1"/>
    <col min="5125" max="5125" width="10.7109375" style="3" customWidth="1"/>
    <col min="5126" max="5126" width="15" style="3" customWidth="1"/>
    <col min="5127" max="5127" width="12" style="3" customWidth="1"/>
    <col min="5128" max="5128" width="11.28515625" style="3" customWidth="1"/>
    <col min="5129" max="5129" width="9.140625" style="3"/>
    <col min="5130" max="5130" width="10" style="3" customWidth="1"/>
    <col min="5131" max="5132" width="9.140625" style="3"/>
    <col min="5133" max="5133" width="32.28515625" style="3" customWidth="1"/>
    <col min="5134" max="5134" width="33.42578125" style="3" customWidth="1"/>
    <col min="5135" max="5376" width="9.140625" style="3"/>
    <col min="5377" max="5377" width="7.42578125" style="3" customWidth="1"/>
    <col min="5378" max="5378" width="6.28515625" style="3" customWidth="1"/>
    <col min="5379" max="5379" width="5.140625" style="3" bestFit="1" customWidth="1"/>
    <col min="5380" max="5380" width="49" style="3" customWidth="1"/>
    <col min="5381" max="5381" width="10.7109375" style="3" customWidth="1"/>
    <col min="5382" max="5382" width="15" style="3" customWidth="1"/>
    <col min="5383" max="5383" width="12" style="3" customWidth="1"/>
    <col min="5384" max="5384" width="11.28515625" style="3" customWidth="1"/>
    <col min="5385" max="5385" width="9.140625" style="3"/>
    <col min="5386" max="5386" width="10" style="3" customWidth="1"/>
    <col min="5387" max="5388" width="9.140625" style="3"/>
    <col min="5389" max="5389" width="32.28515625" style="3" customWidth="1"/>
    <col min="5390" max="5390" width="33.42578125" style="3" customWidth="1"/>
    <col min="5391" max="5632" width="9.140625" style="3"/>
    <col min="5633" max="5633" width="7.42578125" style="3" customWidth="1"/>
    <col min="5634" max="5634" width="6.28515625" style="3" customWidth="1"/>
    <col min="5635" max="5635" width="5.140625" style="3" bestFit="1" customWidth="1"/>
    <col min="5636" max="5636" width="49" style="3" customWidth="1"/>
    <col min="5637" max="5637" width="10.7109375" style="3" customWidth="1"/>
    <col min="5638" max="5638" width="15" style="3" customWidth="1"/>
    <col min="5639" max="5639" width="12" style="3" customWidth="1"/>
    <col min="5640" max="5640" width="11.28515625" style="3" customWidth="1"/>
    <col min="5641" max="5641" width="9.140625" style="3"/>
    <col min="5642" max="5642" width="10" style="3" customWidth="1"/>
    <col min="5643" max="5644" width="9.140625" style="3"/>
    <col min="5645" max="5645" width="32.28515625" style="3" customWidth="1"/>
    <col min="5646" max="5646" width="33.42578125" style="3" customWidth="1"/>
    <col min="5647" max="5888" width="9.140625" style="3"/>
    <col min="5889" max="5889" width="7.42578125" style="3" customWidth="1"/>
    <col min="5890" max="5890" width="6.28515625" style="3" customWidth="1"/>
    <col min="5891" max="5891" width="5.140625" style="3" bestFit="1" customWidth="1"/>
    <col min="5892" max="5892" width="49" style="3" customWidth="1"/>
    <col min="5893" max="5893" width="10.7109375" style="3" customWidth="1"/>
    <col min="5894" max="5894" width="15" style="3" customWidth="1"/>
    <col min="5895" max="5895" width="12" style="3" customWidth="1"/>
    <col min="5896" max="5896" width="11.28515625" style="3" customWidth="1"/>
    <col min="5897" max="5897" width="9.140625" style="3"/>
    <col min="5898" max="5898" width="10" style="3" customWidth="1"/>
    <col min="5899" max="5900" width="9.140625" style="3"/>
    <col min="5901" max="5901" width="32.28515625" style="3" customWidth="1"/>
    <col min="5902" max="5902" width="33.42578125" style="3" customWidth="1"/>
    <col min="5903" max="6144" width="9.140625" style="3"/>
    <col min="6145" max="6145" width="7.42578125" style="3" customWidth="1"/>
    <col min="6146" max="6146" width="6.28515625" style="3" customWidth="1"/>
    <col min="6147" max="6147" width="5.140625" style="3" bestFit="1" customWidth="1"/>
    <col min="6148" max="6148" width="49" style="3" customWidth="1"/>
    <col min="6149" max="6149" width="10.7109375" style="3" customWidth="1"/>
    <col min="6150" max="6150" width="15" style="3" customWidth="1"/>
    <col min="6151" max="6151" width="12" style="3" customWidth="1"/>
    <col min="6152" max="6152" width="11.28515625" style="3" customWidth="1"/>
    <col min="6153" max="6153" width="9.140625" style="3"/>
    <col min="6154" max="6154" width="10" style="3" customWidth="1"/>
    <col min="6155" max="6156" width="9.140625" style="3"/>
    <col min="6157" max="6157" width="32.28515625" style="3" customWidth="1"/>
    <col min="6158" max="6158" width="33.42578125" style="3" customWidth="1"/>
    <col min="6159" max="6400" width="9.140625" style="3"/>
    <col min="6401" max="6401" width="7.42578125" style="3" customWidth="1"/>
    <col min="6402" max="6402" width="6.28515625" style="3" customWidth="1"/>
    <col min="6403" max="6403" width="5.140625" style="3" bestFit="1" customWidth="1"/>
    <col min="6404" max="6404" width="49" style="3" customWidth="1"/>
    <col min="6405" max="6405" width="10.7109375" style="3" customWidth="1"/>
    <col min="6406" max="6406" width="15" style="3" customWidth="1"/>
    <col min="6407" max="6407" width="12" style="3" customWidth="1"/>
    <col min="6408" max="6408" width="11.28515625" style="3" customWidth="1"/>
    <col min="6409" max="6409" width="9.140625" style="3"/>
    <col min="6410" max="6410" width="10" style="3" customWidth="1"/>
    <col min="6411" max="6412" width="9.140625" style="3"/>
    <col min="6413" max="6413" width="32.28515625" style="3" customWidth="1"/>
    <col min="6414" max="6414" width="33.42578125" style="3" customWidth="1"/>
    <col min="6415" max="6656" width="9.140625" style="3"/>
    <col min="6657" max="6657" width="7.42578125" style="3" customWidth="1"/>
    <col min="6658" max="6658" width="6.28515625" style="3" customWidth="1"/>
    <col min="6659" max="6659" width="5.140625" style="3" bestFit="1" customWidth="1"/>
    <col min="6660" max="6660" width="49" style="3" customWidth="1"/>
    <col min="6661" max="6661" width="10.7109375" style="3" customWidth="1"/>
    <col min="6662" max="6662" width="15" style="3" customWidth="1"/>
    <col min="6663" max="6663" width="12" style="3" customWidth="1"/>
    <col min="6664" max="6664" width="11.28515625" style="3" customWidth="1"/>
    <col min="6665" max="6665" width="9.140625" style="3"/>
    <col min="6666" max="6666" width="10" style="3" customWidth="1"/>
    <col min="6667" max="6668" width="9.140625" style="3"/>
    <col min="6669" max="6669" width="32.28515625" style="3" customWidth="1"/>
    <col min="6670" max="6670" width="33.42578125" style="3" customWidth="1"/>
    <col min="6671" max="6912" width="9.140625" style="3"/>
    <col min="6913" max="6913" width="7.42578125" style="3" customWidth="1"/>
    <col min="6914" max="6914" width="6.28515625" style="3" customWidth="1"/>
    <col min="6915" max="6915" width="5.140625" style="3" bestFit="1" customWidth="1"/>
    <col min="6916" max="6916" width="49" style="3" customWidth="1"/>
    <col min="6917" max="6917" width="10.7109375" style="3" customWidth="1"/>
    <col min="6918" max="6918" width="15" style="3" customWidth="1"/>
    <col min="6919" max="6919" width="12" style="3" customWidth="1"/>
    <col min="6920" max="6920" width="11.28515625" style="3" customWidth="1"/>
    <col min="6921" max="6921" width="9.140625" style="3"/>
    <col min="6922" max="6922" width="10" style="3" customWidth="1"/>
    <col min="6923" max="6924" width="9.140625" style="3"/>
    <col min="6925" max="6925" width="32.28515625" style="3" customWidth="1"/>
    <col min="6926" max="6926" width="33.42578125" style="3" customWidth="1"/>
    <col min="6927" max="7168" width="9.140625" style="3"/>
    <col min="7169" max="7169" width="7.42578125" style="3" customWidth="1"/>
    <col min="7170" max="7170" width="6.28515625" style="3" customWidth="1"/>
    <col min="7171" max="7171" width="5.140625" style="3" bestFit="1" customWidth="1"/>
    <col min="7172" max="7172" width="49" style="3" customWidth="1"/>
    <col min="7173" max="7173" width="10.7109375" style="3" customWidth="1"/>
    <col min="7174" max="7174" width="15" style="3" customWidth="1"/>
    <col min="7175" max="7175" width="12" style="3" customWidth="1"/>
    <col min="7176" max="7176" width="11.28515625" style="3" customWidth="1"/>
    <col min="7177" max="7177" width="9.140625" style="3"/>
    <col min="7178" max="7178" width="10" style="3" customWidth="1"/>
    <col min="7179" max="7180" width="9.140625" style="3"/>
    <col min="7181" max="7181" width="32.28515625" style="3" customWidth="1"/>
    <col min="7182" max="7182" width="33.42578125" style="3" customWidth="1"/>
    <col min="7183" max="7424" width="9.140625" style="3"/>
    <col min="7425" max="7425" width="7.42578125" style="3" customWidth="1"/>
    <col min="7426" max="7426" width="6.28515625" style="3" customWidth="1"/>
    <col min="7427" max="7427" width="5.140625" style="3" bestFit="1" customWidth="1"/>
    <col min="7428" max="7428" width="49" style="3" customWidth="1"/>
    <col min="7429" max="7429" width="10.7109375" style="3" customWidth="1"/>
    <col min="7430" max="7430" width="15" style="3" customWidth="1"/>
    <col min="7431" max="7431" width="12" style="3" customWidth="1"/>
    <col min="7432" max="7432" width="11.28515625" style="3" customWidth="1"/>
    <col min="7433" max="7433" width="9.140625" style="3"/>
    <col min="7434" max="7434" width="10" style="3" customWidth="1"/>
    <col min="7435" max="7436" width="9.140625" style="3"/>
    <col min="7437" max="7437" width="32.28515625" style="3" customWidth="1"/>
    <col min="7438" max="7438" width="33.42578125" style="3" customWidth="1"/>
    <col min="7439" max="7680" width="9.140625" style="3"/>
    <col min="7681" max="7681" width="7.42578125" style="3" customWidth="1"/>
    <col min="7682" max="7682" width="6.28515625" style="3" customWidth="1"/>
    <col min="7683" max="7683" width="5.140625" style="3" bestFit="1" customWidth="1"/>
    <col min="7684" max="7684" width="49" style="3" customWidth="1"/>
    <col min="7685" max="7685" width="10.7109375" style="3" customWidth="1"/>
    <col min="7686" max="7686" width="15" style="3" customWidth="1"/>
    <col min="7687" max="7687" width="12" style="3" customWidth="1"/>
    <col min="7688" max="7688" width="11.28515625" style="3" customWidth="1"/>
    <col min="7689" max="7689" width="9.140625" style="3"/>
    <col min="7690" max="7690" width="10" style="3" customWidth="1"/>
    <col min="7691" max="7692" width="9.140625" style="3"/>
    <col min="7693" max="7693" width="32.28515625" style="3" customWidth="1"/>
    <col min="7694" max="7694" width="33.42578125" style="3" customWidth="1"/>
    <col min="7695" max="7936" width="9.140625" style="3"/>
    <col min="7937" max="7937" width="7.42578125" style="3" customWidth="1"/>
    <col min="7938" max="7938" width="6.28515625" style="3" customWidth="1"/>
    <col min="7939" max="7939" width="5.140625" style="3" bestFit="1" customWidth="1"/>
    <col min="7940" max="7940" width="49" style="3" customWidth="1"/>
    <col min="7941" max="7941" width="10.7109375" style="3" customWidth="1"/>
    <col min="7942" max="7942" width="15" style="3" customWidth="1"/>
    <col min="7943" max="7943" width="12" style="3" customWidth="1"/>
    <col min="7944" max="7944" width="11.28515625" style="3" customWidth="1"/>
    <col min="7945" max="7945" width="9.140625" style="3"/>
    <col min="7946" max="7946" width="10" style="3" customWidth="1"/>
    <col min="7947" max="7948" width="9.140625" style="3"/>
    <col min="7949" max="7949" width="32.28515625" style="3" customWidth="1"/>
    <col min="7950" max="7950" width="33.42578125" style="3" customWidth="1"/>
    <col min="7951" max="8192" width="9.140625" style="3"/>
    <col min="8193" max="8193" width="7.42578125" style="3" customWidth="1"/>
    <col min="8194" max="8194" width="6.28515625" style="3" customWidth="1"/>
    <col min="8195" max="8195" width="5.140625" style="3" bestFit="1" customWidth="1"/>
    <col min="8196" max="8196" width="49" style="3" customWidth="1"/>
    <col min="8197" max="8197" width="10.7109375" style="3" customWidth="1"/>
    <col min="8198" max="8198" width="15" style="3" customWidth="1"/>
    <col min="8199" max="8199" width="12" style="3" customWidth="1"/>
    <col min="8200" max="8200" width="11.28515625" style="3" customWidth="1"/>
    <col min="8201" max="8201" width="9.140625" style="3"/>
    <col min="8202" max="8202" width="10" style="3" customWidth="1"/>
    <col min="8203" max="8204" width="9.140625" style="3"/>
    <col min="8205" max="8205" width="32.28515625" style="3" customWidth="1"/>
    <col min="8206" max="8206" width="33.42578125" style="3" customWidth="1"/>
    <col min="8207" max="8448" width="9.140625" style="3"/>
    <col min="8449" max="8449" width="7.42578125" style="3" customWidth="1"/>
    <col min="8450" max="8450" width="6.28515625" style="3" customWidth="1"/>
    <col min="8451" max="8451" width="5.140625" style="3" bestFit="1" customWidth="1"/>
    <col min="8452" max="8452" width="49" style="3" customWidth="1"/>
    <col min="8453" max="8453" width="10.7109375" style="3" customWidth="1"/>
    <col min="8454" max="8454" width="15" style="3" customWidth="1"/>
    <col min="8455" max="8455" width="12" style="3" customWidth="1"/>
    <col min="8456" max="8456" width="11.28515625" style="3" customWidth="1"/>
    <col min="8457" max="8457" width="9.140625" style="3"/>
    <col min="8458" max="8458" width="10" style="3" customWidth="1"/>
    <col min="8459" max="8460" width="9.140625" style="3"/>
    <col min="8461" max="8461" width="32.28515625" style="3" customWidth="1"/>
    <col min="8462" max="8462" width="33.42578125" style="3" customWidth="1"/>
    <col min="8463" max="8704" width="9.140625" style="3"/>
    <col min="8705" max="8705" width="7.42578125" style="3" customWidth="1"/>
    <col min="8706" max="8706" width="6.28515625" style="3" customWidth="1"/>
    <col min="8707" max="8707" width="5.140625" style="3" bestFit="1" customWidth="1"/>
    <col min="8708" max="8708" width="49" style="3" customWidth="1"/>
    <col min="8709" max="8709" width="10.7109375" style="3" customWidth="1"/>
    <col min="8710" max="8710" width="15" style="3" customWidth="1"/>
    <col min="8711" max="8711" width="12" style="3" customWidth="1"/>
    <col min="8712" max="8712" width="11.28515625" style="3" customWidth="1"/>
    <col min="8713" max="8713" width="9.140625" style="3"/>
    <col min="8714" max="8714" width="10" style="3" customWidth="1"/>
    <col min="8715" max="8716" width="9.140625" style="3"/>
    <col min="8717" max="8717" width="32.28515625" style="3" customWidth="1"/>
    <col min="8718" max="8718" width="33.42578125" style="3" customWidth="1"/>
    <col min="8719" max="8960" width="9.140625" style="3"/>
    <col min="8961" max="8961" width="7.42578125" style="3" customWidth="1"/>
    <col min="8962" max="8962" width="6.28515625" style="3" customWidth="1"/>
    <col min="8963" max="8963" width="5.140625" style="3" bestFit="1" customWidth="1"/>
    <col min="8964" max="8964" width="49" style="3" customWidth="1"/>
    <col min="8965" max="8965" width="10.7109375" style="3" customWidth="1"/>
    <col min="8966" max="8966" width="15" style="3" customWidth="1"/>
    <col min="8967" max="8967" width="12" style="3" customWidth="1"/>
    <col min="8968" max="8968" width="11.28515625" style="3" customWidth="1"/>
    <col min="8969" max="8969" width="9.140625" style="3"/>
    <col min="8970" max="8970" width="10" style="3" customWidth="1"/>
    <col min="8971" max="8972" width="9.140625" style="3"/>
    <col min="8973" max="8973" width="32.28515625" style="3" customWidth="1"/>
    <col min="8974" max="8974" width="33.42578125" style="3" customWidth="1"/>
    <col min="8975" max="9216" width="9.140625" style="3"/>
    <col min="9217" max="9217" width="7.42578125" style="3" customWidth="1"/>
    <col min="9218" max="9218" width="6.28515625" style="3" customWidth="1"/>
    <col min="9219" max="9219" width="5.140625" style="3" bestFit="1" customWidth="1"/>
    <col min="9220" max="9220" width="49" style="3" customWidth="1"/>
    <col min="9221" max="9221" width="10.7109375" style="3" customWidth="1"/>
    <col min="9222" max="9222" width="15" style="3" customWidth="1"/>
    <col min="9223" max="9223" width="12" style="3" customWidth="1"/>
    <col min="9224" max="9224" width="11.28515625" style="3" customWidth="1"/>
    <col min="9225" max="9225" width="9.140625" style="3"/>
    <col min="9226" max="9226" width="10" style="3" customWidth="1"/>
    <col min="9227" max="9228" width="9.140625" style="3"/>
    <col min="9229" max="9229" width="32.28515625" style="3" customWidth="1"/>
    <col min="9230" max="9230" width="33.42578125" style="3" customWidth="1"/>
    <col min="9231" max="9472" width="9.140625" style="3"/>
    <col min="9473" max="9473" width="7.42578125" style="3" customWidth="1"/>
    <col min="9474" max="9474" width="6.28515625" style="3" customWidth="1"/>
    <col min="9475" max="9475" width="5.140625" style="3" bestFit="1" customWidth="1"/>
    <col min="9476" max="9476" width="49" style="3" customWidth="1"/>
    <col min="9477" max="9477" width="10.7109375" style="3" customWidth="1"/>
    <col min="9478" max="9478" width="15" style="3" customWidth="1"/>
    <col min="9479" max="9479" width="12" style="3" customWidth="1"/>
    <col min="9480" max="9480" width="11.28515625" style="3" customWidth="1"/>
    <col min="9481" max="9481" width="9.140625" style="3"/>
    <col min="9482" max="9482" width="10" style="3" customWidth="1"/>
    <col min="9483" max="9484" width="9.140625" style="3"/>
    <col min="9485" max="9485" width="32.28515625" style="3" customWidth="1"/>
    <col min="9486" max="9486" width="33.42578125" style="3" customWidth="1"/>
    <col min="9487" max="9728" width="9.140625" style="3"/>
    <col min="9729" max="9729" width="7.42578125" style="3" customWidth="1"/>
    <col min="9730" max="9730" width="6.28515625" style="3" customWidth="1"/>
    <col min="9731" max="9731" width="5.140625" style="3" bestFit="1" customWidth="1"/>
    <col min="9732" max="9732" width="49" style="3" customWidth="1"/>
    <col min="9733" max="9733" width="10.7109375" style="3" customWidth="1"/>
    <col min="9734" max="9734" width="15" style="3" customWidth="1"/>
    <col min="9735" max="9735" width="12" style="3" customWidth="1"/>
    <col min="9736" max="9736" width="11.28515625" style="3" customWidth="1"/>
    <col min="9737" max="9737" width="9.140625" style="3"/>
    <col min="9738" max="9738" width="10" style="3" customWidth="1"/>
    <col min="9739" max="9740" width="9.140625" style="3"/>
    <col min="9741" max="9741" width="32.28515625" style="3" customWidth="1"/>
    <col min="9742" max="9742" width="33.42578125" style="3" customWidth="1"/>
    <col min="9743" max="9984" width="9.140625" style="3"/>
    <col min="9985" max="9985" width="7.42578125" style="3" customWidth="1"/>
    <col min="9986" max="9986" width="6.28515625" style="3" customWidth="1"/>
    <col min="9987" max="9987" width="5.140625" style="3" bestFit="1" customWidth="1"/>
    <col min="9988" max="9988" width="49" style="3" customWidth="1"/>
    <col min="9989" max="9989" width="10.7109375" style="3" customWidth="1"/>
    <col min="9990" max="9990" width="15" style="3" customWidth="1"/>
    <col min="9991" max="9991" width="12" style="3" customWidth="1"/>
    <col min="9992" max="9992" width="11.28515625" style="3" customWidth="1"/>
    <col min="9993" max="9993" width="9.140625" style="3"/>
    <col min="9994" max="9994" width="10" style="3" customWidth="1"/>
    <col min="9995" max="9996" width="9.140625" style="3"/>
    <col min="9997" max="9997" width="32.28515625" style="3" customWidth="1"/>
    <col min="9998" max="9998" width="33.42578125" style="3" customWidth="1"/>
    <col min="9999" max="10240" width="9.140625" style="3"/>
    <col min="10241" max="10241" width="7.42578125" style="3" customWidth="1"/>
    <col min="10242" max="10242" width="6.28515625" style="3" customWidth="1"/>
    <col min="10243" max="10243" width="5.140625" style="3" bestFit="1" customWidth="1"/>
    <col min="10244" max="10244" width="49" style="3" customWidth="1"/>
    <col min="10245" max="10245" width="10.7109375" style="3" customWidth="1"/>
    <col min="10246" max="10246" width="15" style="3" customWidth="1"/>
    <col min="10247" max="10247" width="12" style="3" customWidth="1"/>
    <col min="10248" max="10248" width="11.28515625" style="3" customWidth="1"/>
    <col min="10249" max="10249" width="9.140625" style="3"/>
    <col min="10250" max="10250" width="10" style="3" customWidth="1"/>
    <col min="10251" max="10252" width="9.140625" style="3"/>
    <col min="10253" max="10253" width="32.28515625" style="3" customWidth="1"/>
    <col min="10254" max="10254" width="33.42578125" style="3" customWidth="1"/>
    <col min="10255" max="10496" width="9.140625" style="3"/>
    <col min="10497" max="10497" width="7.42578125" style="3" customWidth="1"/>
    <col min="10498" max="10498" width="6.28515625" style="3" customWidth="1"/>
    <col min="10499" max="10499" width="5.140625" style="3" bestFit="1" customWidth="1"/>
    <col min="10500" max="10500" width="49" style="3" customWidth="1"/>
    <col min="10501" max="10501" width="10.7109375" style="3" customWidth="1"/>
    <col min="10502" max="10502" width="15" style="3" customWidth="1"/>
    <col min="10503" max="10503" width="12" style="3" customWidth="1"/>
    <col min="10504" max="10504" width="11.28515625" style="3" customWidth="1"/>
    <col min="10505" max="10505" width="9.140625" style="3"/>
    <col min="10506" max="10506" width="10" style="3" customWidth="1"/>
    <col min="10507" max="10508" width="9.140625" style="3"/>
    <col min="10509" max="10509" width="32.28515625" style="3" customWidth="1"/>
    <col min="10510" max="10510" width="33.42578125" style="3" customWidth="1"/>
    <col min="10511" max="10752" width="9.140625" style="3"/>
    <col min="10753" max="10753" width="7.42578125" style="3" customWidth="1"/>
    <col min="10754" max="10754" width="6.28515625" style="3" customWidth="1"/>
    <col min="10755" max="10755" width="5.140625" style="3" bestFit="1" customWidth="1"/>
    <col min="10756" max="10756" width="49" style="3" customWidth="1"/>
    <col min="10757" max="10757" width="10.7109375" style="3" customWidth="1"/>
    <col min="10758" max="10758" width="15" style="3" customWidth="1"/>
    <col min="10759" max="10759" width="12" style="3" customWidth="1"/>
    <col min="10760" max="10760" width="11.28515625" style="3" customWidth="1"/>
    <col min="10761" max="10761" width="9.140625" style="3"/>
    <col min="10762" max="10762" width="10" style="3" customWidth="1"/>
    <col min="10763" max="10764" width="9.140625" style="3"/>
    <col min="10765" max="10765" width="32.28515625" style="3" customWidth="1"/>
    <col min="10766" max="10766" width="33.42578125" style="3" customWidth="1"/>
    <col min="10767" max="11008" width="9.140625" style="3"/>
    <col min="11009" max="11009" width="7.42578125" style="3" customWidth="1"/>
    <col min="11010" max="11010" width="6.28515625" style="3" customWidth="1"/>
    <col min="11011" max="11011" width="5.140625" style="3" bestFit="1" customWidth="1"/>
    <col min="11012" max="11012" width="49" style="3" customWidth="1"/>
    <col min="11013" max="11013" width="10.7109375" style="3" customWidth="1"/>
    <col min="11014" max="11014" width="15" style="3" customWidth="1"/>
    <col min="11015" max="11015" width="12" style="3" customWidth="1"/>
    <col min="11016" max="11016" width="11.28515625" style="3" customWidth="1"/>
    <col min="11017" max="11017" width="9.140625" style="3"/>
    <col min="11018" max="11018" width="10" style="3" customWidth="1"/>
    <col min="11019" max="11020" width="9.140625" style="3"/>
    <col min="11021" max="11021" width="32.28515625" style="3" customWidth="1"/>
    <col min="11022" max="11022" width="33.42578125" style="3" customWidth="1"/>
    <col min="11023" max="11264" width="9.140625" style="3"/>
    <col min="11265" max="11265" width="7.42578125" style="3" customWidth="1"/>
    <col min="11266" max="11266" width="6.28515625" style="3" customWidth="1"/>
    <col min="11267" max="11267" width="5.140625" style="3" bestFit="1" customWidth="1"/>
    <col min="11268" max="11268" width="49" style="3" customWidth="1"/>
    <col min="11269" max="11269" width="10.7109375" style="3" customWidth="1"/>
    <col min="11270" max="11270" width="15" style="3" customWidth="1"/>
    <col min="11271" max="11271" width="12" style="3" customWidth="1"/>
    <col min="11272" max="11272" width="11.28515625" style="3" customWidth="1"/>
    <col min="11273" max="11273" width="9.140625" style="3"/>
    <col min="11274" max="11274" width="10" style="3" customWidth="1"/>
    <col min="11275" max="11276" width="9.140625" style="3"/>
    <col min="11277" max="11277" width="32.28515625" style="3" customWidth="1"/>
    <col min="11278" max="11278" width="33.42578125" style="3" customWidth="1"/>
    <col min="11279" max="11520" width="9.140625" style="3"/>
    <col min="11521" max="11521" width="7.42578125" style="3" customWidth="1"/>
    <col min="11522" max="11522" width="6.28515625" style="3" customWidth="1"/>
    <col min="11523" max="11523" width="5.140625" style="3" bestFit="1" customWidth="1"/>
    <col min="11524" max="11524" width="49" style="3" customWidth="1"/>
    <col min="11525" max="11525" width="10.7109375" style="3" customWidth="1"/>
    <col min="11526" max="11526" width="15" style="3" customWidth="1"/>
    <col min="11527" max="11527" width="12" style="3" customWidth="1"/>
    <col min="11528" max="11528" width="11.28515625" style="3" customWidth="1"/>
    <col min="11529" max="11529" width="9.140625" style="3"/>
    <col min="11530" max="11530" width="10" style="3" customWidth="1"/>
    <col min="11531" max="11532" width="9.140625" style="3"/>
    <col min="11533" max="11533" width="32.28515625" style="3" customWidth="1"/>
    <col min="11534" max="11534" width="33.42578125" style="3" customWidth="1"/>
    <col min="11535" max="11776" width="9.140625" style="3"/>
    <col min="11777" max="11777" width="7.42578125" style="3" customWidth="1"/>
    <col min="11778" max="11778" width="6.28515625" style="3" customWidth="1"/>
    <col min="11779" max="11779" width="5.140625" style="3" bestFit="1" customWidth="1"/>
    <col min="11780" max="11780" width="49" style="3" customWidth="1"/>
    <col min="11781" max="11781" width="10.7109375" style="3" customWidth="1"/>
    <col min="11782" max="11782" width="15" style="3" customWidth="1"/>
    <col min="11783" max="11783" width="12" style="3" customWidth="1"/>
    <col min="11784" max="11784" width="11.28515625" style="3" customWidth="1"/>
    <col min="11785" max="11785" width="9.140625" style="3"/>
    <col min="11786" max="11786" width="10" style="3" customWidth="1"/>
    <col min="11787" max="11788" width="9.140625" style="3"/>
    <col min="11789" max="11789" width="32.28515625" style="3" customWidth="1"/>
    <col min="11790" max="11790" width="33.42578125" style="3" customWidth="1"/>
    <col min="11791" max="12032" width="9.140625" style="3"/>
    <col min="12033" max="12033" width="7.42578125" style="3" customWidth="1"/>
    <col min="12034" max="12034" width="6.28515625" style="3" customWidth="1"/>
    <col min="12035" max="12035" width="5.140625" style="3" bestFit="1" customWidth="1"/>
    <col min="12036" max="12036" width="49" style="3" customWidth="1"/>
    <col min="12037" max="12037" width="10.7109375" style="3" customWidth="1"/>
    <col min="12038" max="12038" width="15" style="3" customWidth="1"/>
    <col min="12039" max="12039" width="12" style="3" customWidth="1"/>
    <col min="12040" max="12040" width="11.28515625" style="3" customWidth="1"/>
    <col min="12041" max="12041" width="9.140625" style="3"/>
    <col min="12042" max="12042" width="10" style="3" customWidth="1"/>
    <col min="12043" max="12044" width="9.140625" style="3"/>
    <col min="12045" max="12045" width="32.28515625" style="3" customWidth="1"/>
    <col min="12046" max="12046" width="33.42578125" style="3" customWidth="1"/>
    <col min="12047" max="12288" width="9.140625" style="3"/>
    <col min="12289" max="12289" width="7.42578125" style="3" customWidth="1"/>
    <col min="12290" max="12290" width="6.28515625" style="3" customWidth="1"/>
    <col min="12291" max="12291" width="5.140625" style="3" bestFit="1" customWidth="1"/>
    <col min="12292" max="12292" width="49" style="3" customWidth="1"/>
    <col min="12293" max="12293" width="10.7109375" style="3" customWidth="1"/>
    <col min="12294" max="12294" width="15" style="3" customWidth="1"/>
    <col min="12295" max="12295" width="12" style="3" customWidth="1"/>
    <col min="12296" max="12296" width="11.28515625" style="3" customWidth="1"/>
    <col min="12297" max="12297" width="9.140625" style="3"/>
    <col min="12298" max="12298" width="10" style="3" customWidth="1"/>
    <col min="12299" max="12300" width="9.140625" style="3"/>
    <col min="12301" max="12301" width="32.28515625" style="3" customWidth="1"/>
    <col min="12302" max="12302" width="33.42578125" style="3" customWidth="1"/>
    <col min="12303" max="12544" width="9.140625" style="3"/>
    <col min="12545" max="12545" width="7.42578125" style="3" customWidth="1"/>
    <col min="12546" max="12546" width="6.28515625" style="3" customWidth="1"/>
    <col min="12547" max="12547" width="5.140625" style="3" bestFit="1" customWidth="1"/>
    <col min="12548" max="12548" width="49" style="3" customWidth="1"/>
    <col min="12549" max="12549" width="10.7109375" style="3" customWidth="1"/>
    <col min="12550" max="12550" width="15" style="3" customWidth="1"/>
    <col min="12551" max="12551" width="12" style="3" customWidth="1"/>
    <col min="12552" max="12552" width="11.28515625" style="3" customWidth="1"/>
    <col min="12553" max="12553" width="9.140625" style="3"/>
    <col min="12554" max="12554" width="10" style="3" customWidth="1"/>
    <col min="12555" max="12556" width="9.140625" style="3"/>
    <col min="12557" max="12557" width="32.28515625" style="3" customWidth="1"/>
    <col min="12558" max="12558" width="33.42578125" style="3" customWidth="1"/>
    <col min="12559" max="12800" width="9.140625" style="3"/>
    <col min="12801" max="12801" width="7.42578125" style="3" customWidth="1"/>
    <col min="12802" max="12802" width="6.28515625" style="3" customWidth="1"/>
    <col min="12803" max="12803" width="5.140625" style="3" bestFit="1" customWidth="1"/>
    <col min="12804" max="12804" width="49" style="3" customWidth="1"/>
    <col min="12805" max="12805" width="10.7109375" style="3" customWidth="1"/>
    <col min="12806" max="12806" width="15" style="3" customWidth="1"/>
    <col min="12807" max="12807" width="12" style="3" customWidth="1"/>
    <col min="12808" max="12808" width="11.28515625" style="3" customWidth="1"/>
    <col min="12809" max="12809" width="9.140625" style="3"/>
    <col min="12810" max="12810" width="10" style="3" customWidth="1"/>
    <col min="12811" max="12812" width="9.140625" style="3"/>
    <col min="12813" max="12813" width="32.28515625" style="3" customWidth="1"/>
    <col min="12814" max="12814" width="33.42578125" style="3" customWidth="1"/>
    <col min="12815" max="13056" width="9.140625" style="3"/>
    <col min="13057" max="13057" width="7.42578125" style="3" customWidth="1"/>
    <col min="13058" max="13058" width="6.28515625" style="3" customWidth="1"/>
    <col min="13059" max="13059" width="5.140625" style="3" bestFit="1" customWidth="1"/>
    <col min="13060" max="13060" width="49" style="3" customWidth="1"/>
    <col min="13061" max="13061" width="10.7109375" style="3" customWidth="1"/>
    <col min="13062" max="13062" width="15" style="3" customWidth="1"/>
    <col min="13063" max="13063" width="12" style="3" customWidth="1"/>
    <col min="13064" max="13064" width="11.28515625" style="3" customWidth="1"/>
    <col min="13065" max="13065" width="9.140625" style="3"/>
    <col min="13066" max="13066" width="10" style="3" customWidth="1"/>
    <col min="13067" max="13068" width="9.140625" style="3"/>
    <col min="13069" max="13069" width="32.28515625" style="3" customWidth="1"/>
    <col min="13070" max="13070" width="33.42578125" style="3" customWidth="1"/>
    <col min="13071" max="13312" width="9.140625" style="3"/>
    <col min="13313" max="13313" width="7.42578125" style="3" customWidth="1"/>
    <col min="13314" max="13314" width="6.28515625" style="3" customWidth="1"/>
    <col min="13315" max="13315" width="5.140625" style="3" bestFit="1" customWidth="1"/>
    <col min="13316" max="13316" width="49" style="3" customWidth="1"/>
    <col min="13317" max="13317" width="10.7109375" style="3" customWidth="1"/>
    <col min="13318" max="13318" width="15" style="3" customWidth="1"/>
    <col min="13319" max="13319" width="12" style="3" customWidth="1"/>
    <col min="13320" max="13320" width="11.28515625" style="3" customWidth="1"/>
    <col min="13321" max="13321" width="9.140625" style="3"/>
    <col min="13322" max="13322" width="10" style="3" customWidth="1"/>
    <col min="13323" max="13324" width="9.140625" style="3"/>
    <col min="13325" max="13325" width="32.28515625" style="3" customWidth="1"/>
    <col min="13326" max="13326" width="33.42578125" style="3" customWidth="1"/>
    <col min="13327" max="13568" width="9.140625" style="3"/>
    <col min="13569" max="13569" width="7.42578125" style="3" customWidth="1"/>
    <col min="13570" max="13570" width="6.28515625" style="3" customWidth="1"/>
    <col min="13571" max="13571" width="5.140625" style="3" bestFit="1" customWidth="1"/>
    <col min="13572" max="13572" width="49" style="3" customWidth="1"/>
    <col min="13573" max="13573" width="10.7109375" style="3" customWidth="1"/>
    <col min="13574" max="13574" width="15" style="3" customWidth="1"/>
    <col min="13575" max="13575" width="12" style="3" customWidth="1"/>
    <col min="13576" max="13576" width="11.28515625" style="3" customWidth="1"/>
    <col min="13577" max="13577" width="9.140625" style="3"/>
    <col min="13578" max="13578" width="10" style="3" customWidth="1"/>
    <col min="13579" max="13580" width="9.140625" style="3"/>
    <col min="13581" max="13581" width="32.28515625" style="3" customWidth="1"/>
    <col min="13582" max="13582" width="33.42578125" style="3" customWidth="1"/>
    <col min="13583" max="13824" width="9.140625" style="3"/>
    <col min="13825" max="13825" width="7.42578125" style="3" customWidth="1"/>
    <col min="13826" max="13826" width="6.28515625" style="3" customWidth="1"/>
    <col min="13827" max="13827" width="5.140625" style="3" bestFit="1" customWidth="1"/>
    <col min="13828" max="13828" width="49" style="3" customWidth="1"/>
    <col min="13829" max="13829" width="10.7109375" style="3" customWidth="1"/>
    <col min="13830" max="13830" width="15" style="3" customWidth="1"/>
    <col min="13831" max="13831" width="12" style="3" customWidth="1"/>
    <col min="13832" max="13832" width="11.28515625" style="3" customWidth="1"/>
    <col min="13833" max="13833" width="9.140625" style="3"/>
    <col min="13834" max="13834" width="10" style="3" customWidth="1"/>
    <col min="13835" max="13836" width="9.140625" style="3"/>
    <col min="13837" max="13837" width="32.28515625" style="3" customWidth="1"/>
    <col min="13838" max="13838" width="33.42578125" style="3" customWidth="1"/>
    <col min="13839" max="14080" width="9.140625" style="3"/>
    <col min="14081" max="14081" width="7.42578125" style="3" customWidth="1"/>
    <col min="14082" max="14082" width="6.28515625" style="3" customWidth="1"/>
    <col min="14083" max="14083" width="5.140625" style="3" bestFit="1" customWidth="1"/>
    <col min="14084" max="14084" width="49" style="3" customWidth="1"/>
    <col min="14085" max="14085" width="10.7109375" style="3" customWidth="1"/>
    <col min="14086" max="14086" width="15" style="3" customWidth="1"/>
    <col min="14087" max="14087" width="12" style="3" customWidth="1"/>
    <col min="14088" max="14088" width="11.28515625" style="3" customWidth="1"/>
    <col min="14089" max="14089" width="9.140625" style="3"/>
    <col min="14090" max="14090" width="10" style="3" customWidth="1"/>
    <col min="14091" max="14092" width="9.140625" style="3"/>
    <col min="14093" max="14093" width="32.28515625" style="3" customWidth="1"/>
    <col min="14094" max="14094" width="33.42578125" style="3" customWidth="1"/>
    <col min="14095" max="14336" width="9.140625" style="3"/>
    <col min="14337" max="14337" width="7.42578125" style="3" customWidth="1"/>
    <col min="14338" max="14338" width="6.28515625" style="3" customWidth="1"/>
    <col min="14339" max="14339" width="5.140625" style="3" bestFit="1" customWidth="1"/>
    <col min="14340" max="14340" width="49" style="3" customWidth="1"/>
    <col min="14341" max="14341" width="10.7109375" style="3" customWidth="1"/>
    <col min="14342" max="14342" width="15" style="3" customWidth="1"/>
    <col min="14343" max="14343" width="12" style="3" customWidth="1"/>
    <col min="14344" max="14344" width="11.28515625" style="3" customWidth="1"/>
    <col min="14345" max="14345" width="9.140625" style="3"/>
    <col min="14346" max="14346" width="10" style="3" customWidth="1"/>
    <col min="14347" max="14348" width="9.140625" style="3"/>
    <col min="14349" max="14349" width="32.28515625" style="3" customWidth="1"/>
    <col min="14350" max="14350" width="33.42578125" style="3" customWidth="1"/>
    <col min="14351" max="14592" width="9.140625" style="3"/>
    <col min="14593" max="14593" width="7.42578125" style="3" customWidth="1"/>
    <col min="14594" max="14594" width="6.28515625" style="3" customWidth="1"/>
    <col min="14595" max="14595" width="5.140625" style="3" bestFit="1" customWidth="1"/>
    <col min="14596" max="14596" width="49" style="3" customWidth="1"/>
    <col min="14597" max="14597" width="10.7109375" style="3" customWidth="1"/>
    <col min="14598" max="14598" width="15" style="3" customWidth="1"/>
    <col min="14599" max="14599" width="12" style="3" customWidth="1"/>
    <col min="14600" max="14600" width="11.28515625" style="3" customWidth="1"/>
    <col min="14601" max="14601" width="9.140625" style="3"/>
    <col min="14602" max="14602" width="10" style="3" customWidth="1"/>
    <col min="14603" max="14604" width="9.140625" style="3"/>
    <col min="14605" max="14605" width="32.28515625" style="3" customWidth="1"/>
    <col min="14606" max="14606" width="33.42578125" style="3" customWidth="1"/>
    <col min="14607" max="14848" width="9.140625" style="3"/>
    <col min="14849" max="14849" width="7.42578125" style="3" customWidth="1"/>
    <col min="14850" max="14850" width="6.28515625" style="3" customWidth="1"/>
    <col min="14851" max="14851" width="5.140625" style="3" bestFit="1" customWidth="1"/>
    <col min="14852" max="14852" width="49" style="3" customWidth="1"/>
    <col min="14853" max="14853" width="10.7109375" style="3" customWidth="1"/>
    <col min="14854" max="14854" width="15" style="3" customWidth="1"/>
    <col min="14855" max="14855" width="12" style="3" customWidth="1"/>
    <col min="14856" max="14856" width="11.28515625" style="3" customWidth="1"/>
    <col min="14857" max="14857" width="9.140625" style="3"/>
    <col min="14858" max="14858" width="10" style="3" customWidth="1"/>
    <col min="14859" max="14860" width="9.140625" style="3"/>
    <col min="14861" max="14861" width="32.28515625" style="3" customWidth="1"/>
    <col min="14862" max="14862" width="33.42578125" style="3" customWidth="1"/>
    <col min="14863" max="15104" width="9.140625" style="3"/>
    <col min="15105" max="15105" width="7.42578125" style="3" customWidth="1"/>
    <col min="15106" max="15106" width="6.28515625" style="3" customWidth="1"/>
    <col min="15107" max="15107" width="5.140625" style="3" bestFit="1" customWidth="1"/>
    <col min="15108" max="15108" width="49" style="3" customWidth="1"/>
    <col min="15109" max="15109" width="10.7109375" style="3" customWidth="1"/>
    <col min="15110" max="15110" width="15" style="3" customWidth="1"/>
    <col min="15111" max="15111" width="12" style="3" customWidth="1"/>
    <col min="15112" max="15112" width="11.28515625" style="3" customWidth="1"/>
    <col min="15113" max="15113" width="9.140625" style="3"/>
    <col min="15114" max="15114" width="10" style="3" customWidth="1"/>
    <col min="15115" max="15116" width="9.140625" style="3"/>
    <col min="15117" max="15117" width="32.28515625" style="3" customWidth="1"/>
    <col min="15118" max="15118" width="33.42578125" style="3" customWidth="1"/>
    <col min="15119" max="15360" width="9.140625" style="3"/>
    <col min="15361" max="15361" width="7.42578125" style="3" customWidth="1"/>
    <col min="15362" max="15362" width="6.28515625" style="3" customWidth="1"/>
    <col min="15363" max="15363" width="5.140625" style="3" bestFit="1" customWidth="1"/>
    <col min="15364" max="15364" width="49" style="3" customWidth="1"/>
    <col min="15365" max="15365" width="10.7109375" style="3" customWidth="1"/>
    <col min="15366" max="15366" width="15" style="3" customWidth="1"/>
    <col min="15367" max="15367" width="12" style="3" customWidth="1"/>
    <col min="15368" max="15368" width="11.28515625" style="3" customWidth="1"/>
    <col min="15369" max="15369" width="9.140625" style="3"/>
    <col min="15370" max="15370" width="10" style="3" customWidth="1"/>
    <col min="15371" max="15372" width="9.140625" style="3"/>
    <col min="15373" max="15373" width="32.28515625" style="3" customWidth="1"/>
    <col min="15374" max="15374" width="33.42578125" style="3" customWidth="1"/>
    <col min="15375" max="15616" width="9.140625" style="3"/>
    <col min="15617" max="15617" width="7.42578125" style="3" customWidth="1"/>
    <col min="15618" max="15618" width="6.28515625" style="3" customWidth="1"/>
    <col min="15619" max="15619" width="5.140625" style="3" bestFit="1" customWidth="1"/>
    <col min="15620" max="15620" width="49" style="3" customWidth="1"/>
    <col min="15621" max="15621" width="10.7109375" style="3" customWidth="1"/>
    <col min="15622" max="15622" width="15" style="3" customWidth="1"/>
    <col min="15623" max="15623" width="12" style="3" customWidth="1"/>
    <col min="15624" max="15624" width="11.28515625" style="3" customWidth="1"/>
    <col min="15625" max="15625" width="9.140625" style="3"/>
    <col min="15626" max="15626" width="10" style="3" customWidth="1"/>
    <col min="15627" max="15628" width="9.140625" style="3"/>
    <col min="15629" max="15629" width="32.28515625" style="3" customWidth="1"/>
    <col min="15630" max="15630" width="33.42578125" style="3" customWidth="1"/>
    <col min="15631" max="15872" width="9.140625" style="3"/>
    <col min="15873" max="15873" width="7.42578125" style="3" customWidth="1"/>
    <col min="15874" max="15874" width="6.28515625" style="3" customWidth="1"/>
    <col min="15875" max="15875" width="5.140625" style="3" bestFit="1" customWidth="1"/>
    <col min="15876" max="15876" width="49" style="3" customWidth="1"/>
    <col min="15877" max="15877" width="10.7109375" style="3" customWidth="1"/>
    <col min="15878" max="15878" width="15" style="3" customWidth="1"/>
    <col min="15879" max="15879" width="12" style="3" customWidth="1"/>
    <col min="15880" max="15880" width="11.28515625" style="3" customWidth="1"/>
    <col min="15881" max="15881" width="9.140625" style="3"/>
    <col min="15882" max="15882" width="10" style="3" customWidth="1"/>
    <col min="15883" max="15884" width="9.140625" style="3"/>
    <col min="15885" max="15885" width="32.28515625" style="3" customWidth="1"/>
    <col min="15886" max="15886" width="33.42578125" style="3" customWidth="1"/>
    <col min="15887" max="16128" width="9.140625" style="3"/>
    <col min="16129" max="16129" width="7.42578125" style="3" customWidth="1"/>
    <col min="16130" max="16130" width="6.28515625" style="3" customWidth="1"/>
    <col min="16131" max="16131" width="5.140625" style="3" bestFit="1" customWidth="1"/>
    <col min="16132" max="16132" width="49" style="3" customWidth="1"/>
    <col min="16133" max="16133" width="10.7109375" style="3" customWidth="1"/>
    <col min="16134" max="16134" width="15" style="3" customWidth="1"/>
    <col min="16135" max="16135" width="12" style="3" customWidth="1"/>
    <col min="16136" max="16136" width="11.28515625" style="3" customWidth="1"/>
    <col min="16137" max="16137" width="9.140625" style="3"/>
    <col min="16138" max="16138" width="10" style="3" customWidth="1"/>
    <col min="16139" max="16140" width="9.140625" style="3"/>
    <col min="16141" max="16141" width="32.28515625" style="3" customWidth="1"/>
    <col min="16142" max="16142" width="33.42578125" style="3" customWidth="1"/>
    <col min="16143" max="16384" width="9.140625" style="3"/>
  </cols>
  <sheetData>
    <row r="1" spans="1:14" x14ac:dyDescent="0.2">
      <c r="A1" s="60" t="inlineStr">
        <is>
          <t>UNITATEA SANITARA</t>
        </is>
      </c>
      <c r="B1" s="60"/>
      <c r="C1" s="60"/>
      <c r="D1" s="60"/>
      <c r="E1" s="1"/>
      <c r="F1" s="1"/>
      <c r="G1" s="1"/>
      <c r="H1" s="1"/>
      <c r="I1" s="1"/>
      <c r="J1" s="2" t="s">
        <v>1</v>
      </c>
    </row>
    <row r="2" spans="1:14" x14ac:dyDescent="0.2">
      <c r="A2" s="1"/>
      <c r="B2" s="1"/>
      <c r="C2" s="1"/>
      <c r="D2" s="1"/>
      <c r="I2" s="1"/>
    </row>
    <row r="3" spans="1:14" ht="12.75" customHeight="1" x14ac:dyDescent="0.2">
      <c r="A3" s="4"/>
      <c r="B3" s="61" t="s">
        <v>2</v>
      </c>
      <c r="C3" s="61"/>
      <c r="D3" s="61"/>
      <c r="E3" s="61"/>
      <c r="F3" s="61"/>
      <c r="G3" s="61"/>
      <c r="H3" s="61"/>
      <c r="I3" s="61"/>
      <c r="J3" s="61"/>
    </row>
    <row r="4" spans="1:14" x14ac:dyDescent="0.2">
      <c r="A4" s="4"/>
      <c r="B4" s="62" t="s">
        <v>155</v>
      </c>
      <c r="C4" s="62"/>
      <c r="D4" s="62"/>
      <c r="E4" s="62"/>
      <c r="F4" s="62"/>
      <c r="G4" s="62"/>
      <c r="H4" s="62"/>
      <c r="I4" s="62"/>
      <c r="J4" s="62"/>
    </row>
    <row r="5" spans="1:14" x14ac:dyDescent="0.2">
      <c r="A5" s="4"/>
      <c r="B5" s="4"/>
      <c r="C5" s="4"/>
      <c r="D5" s="4"/>
      <c r="E5" s="4"/>
      <c r="F5" s="4"/>
      <c r="G5" s="4"/>
      <c r="H5" s="4"/>
      <c r="I5" s="4"/>
      <c r="J5" s="5" t="s">
        <v>3</v>
      </c>
    </row>
    <row r="6" spans="1:14" ht="62.25" customHeight="1" x14ac:dyDescent="0.2">
      <c r="A6" s="6" t="s">
        <v>4</v>
      </c>
      <c r="B6" s="6" t="s">
        <v>5</v>
      </c>
      <c r="C6" s="6" t="s">
        <v>6</v>
      </c>
      <c r="D6" s="6" t="s">
        <v>7</v>
      </c>
      <c r="E6" s="6" t="s">
        <v>8</v>
      </c>
      <c r="F6" s="6" t="s">
        <v>9</v>
      </c>
      <c r="G6" s="7" t="s">
        <v>10</v>
      </c>
      <c r="H6" s="6" t="s">
        <v>11</v>
      </c>
      <c r="I6" s="6" t="s">
        <v>12</v>
      </c>
      <c r="J6" s="6" t="s">
        <v>13</v>
      </c>
      <c r="N6" s="63"/>
    </row>
    <row r="7" spans="1:14" x14ac:dyDescent="0.2">
      <c r="A7" s="8"/>
      <c r="B7" s="9">
        <v>0</v>
      </c>
      <c r="C7" s="9">
        <v>1</v>
      </c>
      <c r="D7" s="9">
        <v>2</v>
      </c>
      <c r="E7" s="9">
        <v>3</v>
      </c>
      <c r="F7" s="9">
        <v>4</v>
      </c>
      <c r="G7" s="9">
        <v>5</v>
      </c>
      <c r="H7" s="9">
        <v>6</v>
      </c>
      <c r="I7" s="9">
        <v>7</v>
      </c>
      <c r="J7" s="9">
        <v>8</v>
      </c>
      <c r="N7" s="63"/>
    </row>
    <row r="8" spans="1:14" x14ac:dyDescent="0.2">
      <c r="A8" s="8"/>
      <c r="B8" s="8"/>
      <c r="C8" s="10"/>
      <c r="D8" s="11" t="s">
        <v>14</v>
      </c>
      <c r="E8" s="66">
        <f t="shared" ref="E8:J8" si="0">E9+E128</f>
      </c>
      <c r="F8" s="66">
        <f t="shared" si="0"/>
      </c>
      <c r="G8" s="66">
        <f t="shared" si="0"/>
      </c>
      <c r="H8" s="66">
        <f t="shared" si="0"/>
      </c>
      <c r="I8" s="66">
        <f t="shared" si="0"/>
      </c>
      <c r="J8" s="66">
        <f t="shared" si="0"/>
      </c>
    </row>
    <row r="9" spans="1:14" x14ac:dyDescent="0.2">
      <c r="A9" s="8"/>
      <c r="B9" s="10" t="s">
        <v>15</v>
      </c>
      <c r="C9" s="10"/>
      <c r="D9" s="11" t="s">
        <v>16</v>
      </c>
      <c r="E9" s="66">
        <f t="shared" ref="E9:J9" si="1">E10+E42+E117+E120</f>
      </c>
      <c r="F9" s="66">
        <f t="shared" si="1"/>
      </c>
      <c r="G9" s="66">
        <f t="shared" si="1"/>
      </c>
      <c r="H9" s="66">
        <f t="shared" si="1"/>
      </c>
      <c r="I9" s="66">
        <f t="shared" si="1"/>
      </c>
      <c r="J9" s="66">
        <f t="shared" si="1"/>
      </c>
    </row>
    <row r="10" spans="1:14" ht="25.5" x14ac:dyDescent="0.2">
      <c r="A10" s="11">
        <v>10</v>
      </c>
      <c r="B10" s="10"/>
      <c r="C10" s="10"/>
      <c r="D10" s="12" t="s">
        <v>17</v>
      </c>
      <c r="E10" s="66">
        <f t="shared" ref="E10:J10" si="2">+E11+E12+E40+E41</f>
      </c>
      <c r="F10" s="66">
        <f t="shared" si="2"/>
      </c>
      <c r="G10" s="66">
        <f t="shared" si="2"/>
      </c>
      <c r="H10" s="66">
        <f t="shared" si="2"/>
      </c>
      <c r="I10" s="66">
        <f t="shared" si="2"/>
      </c>
      <c r="J10" s="66">
        <f t="shared" si="2"/>
      </c>
    </row>
    <row r="11" spans="1:14" ht="38.25" x14ac:dyDescent="0.2">
      <c r="A11" s="11"/>
      <c r="B11" s="10"/>
      <c r="C11" s="10"/>
      <c r="D11" s="13" t="s">
        <v>18</v>
      </c>
      <c r="E11" s="65">
        <v>0</v>
      </c>
      <c r="F11" s="65">
        <v>0</v>
      </c>
      <c r="G11" s="65">
        <v>0</v>
      </c>
      <c r="H11" s="65">
        <v>0</v>
      </c>
      <c r="I11" s="65">
        <v>0</v>
      </c>
      <c r="J11" s="65">
        <v>0</v>
      </c>
      <c r="N11" s="14"/>
    </row>
    <row r="12" spans="1:14" s="19" customFormat="1" ht="25.5" x14ac:dyDescent="0.2">
      <c r="A12" s="15"/>
      <c r="B12" s="16"/>
      <c r="C12" s="17"/>
      <c r="D12" s="18" t="s">
        <v>19</v>
      </c>
      <c r="E12" s="67">
        <f t="shared" ref="E12:J12" si="3">+E13+E32+E38</f>
      </c>
      <c r="F12" s="67">
        <f t="shared" si="3"/>
      </c>
      <c r="G12" s="67">
        <f t="shared" si="3"/>
      </c>
      <c r="H12" s="67">
        <f t="shared" si="3"/>
      </c>
      <c r="I12" s="67">
        <f t="shared" si="3"/>
      </c>
      <c r="J12" s="67">
        <f t="shared" si="3"/>
      </c>
      <c r="M12" s="20"/>
      <c r="N12" s="14"/>
    </row>
    <row r="13" spans="1:14" x14ac:dyDescent="0.2">
      <c r="A13" s="8"/>
      <c r="B13" s="10" t="s">
        <v>15</v>
      </c>
      <c r="C13" s="10"/>
      <c r="D13" s="11" t="s">
        <v>20</v>
      </c>
      <c r="E13" s="66">
        <f t="shared" ref="E13:J13" si="4">E14+E15+E16+E17+E18+E19+E20+E21+E22+E23+E24+E25+E26+E27+E28+E29+E31+E30</f>
      </c>
      <c r="F13" s="66">
        <f t="shared" si="4"/>
      </c>
      <c r="G13" s="66">
        <f t="shared" si="4"/>
      </c>
      <c r="H13" s="66">
        <f t="shared" si="4"/>
      </c>
      <c r="I13" s="66">
        <f t="shared" si="4"/>
      </c>
      <c r="J13" s="66">
        <f t="shared" si="4"/>
      </c>
      <c r="M13" s="20"/>
      <c r="N13" s="14"/>
    </row>
    <row r="14" spans="1:14" x14ac:dyDescent="0.2">
      <c r="A14" s="8"/>
      <c r="B14" s="10"/>
      <c r="C14" s="21" t="s">
        <v>21</v>
      </c>
      <c r="D14" s="8" t="s">
        <v>22</v>
      </c>
      <c r="E14" s="65">
        <v>0</v>
      </c>
      <c r="F14" s="65">
        <v>0</v>
      </c>
      <c r="G14" s="65">
        <v>0</v>
      </c>
      <c r="H14" s="65">
        <v>0</v>
      </c>
      <c r="I14" s="65">
        <v>0</v>
      </c>
      <c r="J14" s="65">
        <v>0</v>
      </c>
    </row>
    <row r="15" spans="1:14" x14ac:dyDescent="0.2">
      <c r="A15" s="8"/>
      <c r="B15" s="10"/>
      <c r="C15" s="21" t="s">
        <v>23</v>
      </c>
      <c r="D15" s="8" t="s">
        <v>24</v>
      </c>
      <c r="E15" s="65">
        <v>0</v>
      </c>
      <c r="F15" s="65">
        <v>0</v>
      </c>
      <c r="G15" s="65">
        <v>0</v>
      </c>
      <c r="H15" s="65">
        <v>0</v>
      </c>
      <c r="I15" s="65">
        <v>0</v>
      </c>
      <c r="J15" s="65">
        <v>0</v>
      </c>
      <c r="N15" s="14"/>
    </row>
    <row r="16" spans="1:14" x14ac:dyDescent="0.2">
      <c r="A16" s="8"/>
      <c r="B16" s="10"/>
      <c r="C16" s="21" t="s">
        <v>25</v>
      </c>
      <c r="D16" s="8" t="s">
        <v>26</v>
      </c>
      <c r="E16" s="65">
        <v>0</v>
      </c>
      <c r="F16" s="65">
        <v>0</v>
      </c>
      <c r="G16" s="65">
        <v>0</v>
      </c>
      <c r="H16" s="65">
        <v>0</v>
      </c>
      <c r="I16" s="65">
        <v>0</v>
      </c>
      <c r="J16" s="65">
        <v>0</v>
      </c>
      <c r="M16" s="20"/>
      <c r="N16" s="14"/>
    </row>
    <row r="17" spans="1:16" x14ac:dyDescent="0.2">
      <c r="A17" s="8"/>
      <c r="B17" s="10"/>
      <c r="C17" s="21" t="s">
        <v>27</v>
      </c>
      <c r="D17" s="8" t="s">
        <v>28</v>
      </c>
      <c r="E17" s="65">
        <v>0</v>
      </c>
      <c r="F17" s="65">
        <v>0</v>
      </c>
      <c r="G17" s="65">
        <v>0</v>
      </c>
      <c r="H17" s="65">
        <v>0</v>
      </c>
      <c r="I17" s="65">
        <v>0</v>
      </c>
      <c r="J17" s="65">
        <v>0</v>
      </c>
    </row>
    <row r="18" spans="1:16" x14ac:dyDescent="0.2">
      <c r="A18" s="8"/>
      <c r="B18" s="10"/>
      <c r="C18" s="21" t="s">
        <v>29</v>
      </c>
      <c r="D18" s="8" t="s">
        <v>30</v>
      </c>
      <c r="E18" s="65">
        <v>0</v>
      </c>
      <c r="F18" s="65">
        <v>0</v>
      </c>
      <c r="G18" s="65">
        <v>0</v>
      </c>
      <c r="H18" s="65">
        <v>0</v>
      </c>
      <c r="I18" s="65">
        <v>0</v>
      </c>
      <c r="J18" s="65">
        <v>0</v>
      </c>
    </row>
    <row r="19" spans="1:16" x14ac:dyDescent="0.2">
      <c r="A19" s="8"/>
      <c r="B19" s="10"/>
      <c r="C19" s="21" t="s">
        <v>31</v>
      </c>
      <c r="D19" s="8" t="s">
        <v>32</v>
      </c>
      <c r="E19" s="65">
        <v>0</v>
      </c>
      <c r="F19" s="65">
        <v>0</v>
      </c>
      <c r="G19" s="65">
        <v>0</v>
      </c>
      <c r="H19" s="65">
        <v>0</v>
      </c>
      <c r="I19" s="65">
        <v>0</v>
      </c>
      <c r="J19" s="65">
        <v>0</v>
      </c>
      <c r="M19" s="64"/>
      <c r="N19" s="64"/>
      <c r="O19" s="64"/>
      <c r="P19" s="64"/>
    </row>
    <row r="20" spans="1:16" x14ac:dyDescent="0.2">
      <c r="A20" s="8"/>
      <c r="B20" s="10"/>
      <c r="C20" s="21" t="s">
        <v>33</v>
      </c>
      <c r="D20" s="8" t="s">
        <v>34</v>
      </c>
      <c r="E20" s="65">
        <v>0</v>
      </c>
      <c r="F20" s="65">
        <v>0</v>
      </c>
      <c r="G20" s="65">
        <v>0</v>
      </c>
      <c r="H20" s="65">
        <v>0</v>
      </c>
      <c r="I20" s="65">
        <v>0</v>
      </c>
      <c r="J20" s="65">
        <v>0</v>
      </c>
      <c r="M20" s="59"/>
      <c r="N20" s="59"/>
      <c r="O20" s="59"/>
      <c r="P20" s="59"/>
    </row>
    <row r="21" spans="1:16" ht="12.75" customHeight="1" x14ac:dyDescent="0.2">
      <c r="A21" s="8"/>
      <c r="B21" s="10"/>
      <c r="C21" s="21" t="s">
        <v>35</v>
      </c>
      <c r="D21" s="8" t="s">
        <v>36</v>
      </c>
      <c r="E21" s="65">
        <v>0</v>
      </c>
      <c r="F21" s="65">
        <v>0</v>
      </c>
      <c r="G21" s="65">
        <v>0</v>
      </c>
      <c r="H21" s="65">
        <v>0</v>
      </c>
      <c r="I21" s="65">
        <v>0</v>
      </c>
      <c r="J21" s="65">
        <v>0</v>
      </c>
      <c r="M21" s="59"/>
      <c r="N21" s="59"/>
      <c r="O21" s="59"/>
      <c r="P21" s="59"/>
    </row>
    <row r="22" spans="1:16" x14ac:dyDescent="0.2">
      <c r="A22" s="8"/>
      <c r="B22" s="10"/>
      <c r="C22" s="21" t="s">
        <v>37</v>
      </c>
      <c r="D22" s="8" t="s">
        <v>38</v>
      </c>
      <c r="E22" s="65">
        <v>0</v>
      </c>
      <c r="F22" s="65">
        <v>0</v>
      </c>
      <c r="G22" s="65">
        <v>0</v>
      </c>
      <c r="H22" s="65">
        <v>0</v>
      </c>
      <c r="I22" s="65">
        <v>0</v>
      </c>
      <c r="J22" s="65">
        <v>0</v>
      </c>
      <c r="M22" s="59"/>
      <c r="N22" s="59"/>
      <c r="O22" s="59"/>
      <c r="P22" s="59"/>
    </row>
    <row r="23" spans="1:16" x14ac:dyDescent="0.2">
      <c r="A23" s="8"/>
      <c r="B23" s="10"/>
      <c r="C23" s="21" t="s">
        <v>39</v>
      </c>
      <c r="D23" s="8" t="s">
        <v>40</v>
      </c>
      <c r="E23" s="65">
        <v>0</v>
      </c>
      <c r="F23" s="65">
        <v>0</v>
      </c>
      <c r="G23" s="65">
        <v>0</v>
      </c>
      <c r="H23" s="65">
        <v>0</v>
      </c>
      <c r="I23" s="65">
        <v>0</v>
      </c>
      <c r="J23" s="65">
        <v>0</v>
      </c>
      <c r="M23" s="22"/>
      <c r="N23" s="22"/>
      <c r="O23" s="22"/>
      <c r="P23" s="22"/>
    </row>
    <row r="24" spans="1:16" x14ac:dyDescent="0.2">
      <c r="A24" s="8"/>
      <c r="B24" s="10"/>
      <c r="C24" s="21" t="s">
        <v>41</v>
      </c>
      <c r="D24" s="8" t="s">
        <v>42</v>
      </c>
      <c r="E24" s="65">
        <v>0</v>
      </c>
      <c r="F24" s="65">
        <v>0</v>
      </c>
      <c r="G24" s="65">
        <v>0</v>
      </c>
      <c r="H24" s="65">
        <v>0</v>
      </c>
      <c r="I24" s="65">
        <v>0</v>
      </c>
      <c r="J24" s="65">
        <v>0</v>
      </c>
    </row>
    <row r="25" spans="1:16" x14ac:dyDescent="0.2">
      <c r="A25" s="8"/>
      <c r="B25" s="10"/>
      <c r="C25" s="21" t="s">
        <v>43</v>
      </c>
      <c r="D25" s="8" t="s">
        <v>44</v>
      </c>
      <c r="E25" s="65">
        <v>0</v>
      </c>
      <c r="F25" s="65">
        <v>0</v>
      </c>
      <c r="G25" s="65">
        <v>0</v>
      </c>
      <c r="H25" s="65">
        <v>0</v>
      </c>
      <c r="I25" s="65">
        <v>0</v>
      </c>
      <c r="J25" s="65">
        <v>0</v>
      </c>
    </row>
    <row r="26" spans="1:16" x14ac:dyDescent="0.2">
      <c r="A26" s="8"/>
      <c r="B26" s="10"/>
      <c r="C26" s="21" t="s">
        <v>45</v>
      </c>
      <c r="D26" s="8" t="s">
        <v>46</v>
      </c>
      <c r="E26" s="65">
        <v>0</v>
      </c>
      <c r="F26" s="65">
        <v>0</v>
      </c>
      <c r="G26" s="65">
        <v>0</v>
      </c>
      <c r="H26" s="65">
        <v>0</v>
      </c>
      <c r="I26" s="65">
        <v>0</v>
      </c>
      <c r="J26" s="65">
        <v>0</v>
      </c>
    </row>
    <row r="27" spans="1:16" x14ac:dyDescent="0.2">
      <c r="A27" s="8"/>
      <c r="B27" s="10"/>
      <c r="C27" s="21" t="s">
        <v>47</v>
      </c>
      <c r="D27" s="8" t="s">
        <v>48</v>
      </c>
      <c r="E27" s="65">
        <v>0</v>
      </c>
      <c r="F27" s="65">
        <v>0</v>
      </c>
      <c r="G27" s="65">
        <v>0</v>
      </c>
      <c r="H27" s="65">
        <v>0</v>
      </c>
      <c r="I27" s="65">
        <v>0</v>
      </c>
      <c r="J27" s="65">
        <v>0</v>
      </c>
    </row>
    <row r="28" spans="1:16" x14ac:dyDescent="0.2">
      <c r="A28" s="8"/>
      <c r="B28" s="10"/>
      <c r="C28" s="21" t="s">
        <v>49</v>
      </c>
      <c r="D28" s="8" t="s">
        <v>50</v>
      </c>
      <c r="E28" s="65">
        <v>0</v>
      </c>
      <c r="F28" s="65">
        <v>0</v>
      </c>
      <c r="G28" s="65">
        <v>0</v>
      </c>
      <c r="H28" s="65">
        <v>0</v>
      </c>
      <c r="I28" s="65">
        <v>0</v>
      </c>
      <c r="J28" s="65">
        <v>0</v>
      </c>
    </row>
    <row r="29" spans="1:16" x14ac:dyDescent="0.2">
      <c r="A29" s="8"/>
      <c r="B29" s="10"/>
      <c r="C29" s="21" t="s">
        <v>51</v>
      </c>
      <c r="D29" s="8" t="s">
        <v>52</v>
      </c>
      <c r="E29" s="65">
        <v>0</v>
      </c>
      <c r="F29" s="65">
        <v>0</v>
      </c>
      <c r="G29" s="65">
        <v>0</v>
      </c>
      <c r="H29" s="65">
        <v>0</v>
      </c>
      <c r="I29" s="65">
        <v>0</v>
      </c>
      <c r="J29" s="65">
        <v>0</v>
      </c>
    </row>
    <row r="30" spans="1:16" x14ac:dyDescent="0.2">
      <c r="A30" s="8"/>
      <c r="B30" s="10"/>
      <c r="C30" s="21" t="s">
        <v>53</v>
      </c>
      <c r="D30" s="8" t="s">
        <v>54</v>
      </c>
      <c r="E30" s="65">
        <v>0</v>
      </c>
      <c r="F30" s="65">
        <v>0</v>
      </c>
      <c r="G30" s="65">
        <v>0</v>
      </c>
      <c r="H30" s="65">
        <v>0</v>
      </c>
      <c r="I30" s="65">
        <v>0</v>
      </c>
      <c r="J30" s="65">
        <v>0</v>
      </c>
    </row>
    <row r="31" spans="1:16" x14ac:dyDescent="0.2">
      <c r="A31" s="8"/>
      <c r="B31" s="10"/>
      <c r="C31" s="21">
        <v>30</v>
      </c>
      <c r="D31" s="8" t="s">
        <v>55</v>
      </c>
      <c r="E31" s="65">
        <v>0</v>
      </c>
      <c r="F31" s="65">
        <v>0</v>
      </c>
      <c r="G31" s="65">
        <v>0</v>
      </c>
      <c r="H31" s="65">
        <v>0</v>
      </c>
      <c r="I31" s="65">
        <v>0</v>
      </c>
      <c r="J31" s="65">
        <v>0</v>
      </c>
    </row>
    <row r="32" spans="1:16" x14ac:dyDescent="0.2">
      <c r="A32" s="11">
        <v>10</v>
      </c>
      <c r="B32" s="10" t="s">
        <v>23</v>
      </c>
      <c r="C32" s="10"/>
      <c r="D32" s="11" t="s">
        <v>56</v>
      </c>
      <c r="E32" s="66">
        <f t="shared" ref="E32:J32" si="5">E33+E34+E35+E37+E36</f>
      </c>
      <c r="F32" s="66">
        <f t="shared" si="5"/>
      </c>
      <c r="G32" s="66">
        <f t="shared" si="5"/>
      </c>
      <c r="H32" s="66">
        <f t="shared" si="5"/>
      </c>
      <c r="I32" s="66">
        <f t="shared" si="5"/>
      </c>
      <c r="J32" s="66">
        <f t="shared" si="5"/>
      </c>
    </row>
    <row r="33" spans="1:10" x14ac:dyDescent="0.2">
      <c r="A33" s="8"/>
      <c r="B33" s="10"/>
      <c r="C33" s="21" t="s">
        <v>21</v>
      </c>
      <c r="D33" s="8" t="s">
        <v>57</v>
      </c>
      <c r="E33" s="65"/>
      <c r="F33" s="65"/>
      <c r="G33" s="65"/>
      <c r="H33" s="65"/>
      <c r="I33" s="65"/>
      <c r="J33" s="65"/>
    </row>
    <row r="34" spans="1:10" x14ac:dyDescent="0.2">
      <c r="A34" s="8"/>
      <c r="B34" s="10"/>
      <c r="C34" s="21" t="s">
        <v>23</v>
      </c>
      <c r="D34" s="8" t="s">
        <v>58</v>
      </c>
      <c r="E34" s="65"/>
      <c r="F34" s="65"/>
      <c r="G34" s="65"/>
      <c r="H34" s="65"/>
      <c r="I34" s="65"/>
      <c r="J34" s="65"/>
    </row>
    <row r="35" spans="1:10" x14ac:dyDescent="0.2">
      <c r="A35" s="8"/>
      <c r="B35" s="10"/>
      <c r="C35" s="21" t="s">
        <v>25</v>
      </c>
      <c r="D35" s="8" t="s">
        <v>59</v>
      </c>
      <c r="E35" s="65">
        <v>0</v>
      </c>
      <c r="F35" s="65">
        <v>0</v>
      </c>
      <c r="G35" s="65">
        <v>0</v>
      </c>
      <c r="H35" s="65">
        <v>0</v>
      </c>
      <c r="I35" s="65">
        <v>0</v>
      </c>
      <c r="J35" s="65">
        <v>0</v>
      </c>
    </row>
    <row r="36" spans="1:10" x14ac:dyDescent="0.2">
      <c r="A36" s="8"/>
      <c r="B36" s="10"/>
      <c r="C36" s="21" t="s">
        <v>31</v>
      </c>
      <c r="D36" s="8" t="s">
        <v>60</v>
      </c>
      <c r="E36" s="65">
        <v>0</v>
      </c>
      <c r="F36" s="65">
        <v>0</v>
      </c>
      <c r="G36" s="65">
        <v>0</v>
      </c>
      <c r="H36" s="65">
        <v>0</v>
      </c>
      <c r="I36" s="65">
        <v>0</v>
      </c>
      <c r="J36" s="65">
        <v>0</v>
      </c>
    </row>
    <row r="37" spans="1:10" x14ac:dyDescent="0.2">
      <c r="A37" s="8"/>
      <c r="B37" s="10"/>
      <c r="C37" s="21">
        <v>30</v>
      </c>
      <c r="D37" s="8" t="s">
        <v>61</v>
      </c>
      <c r="E37" s="65">
        <v>0</v>
      </c>
      <c r="F37" s="65">
        <v>0</v>
      </c>
      <c r="G37" s="65">
        <v>0</v>
      </c>
      <c r="H37" s="65">
        <v>0</v>
      </c>
      <c r="I37" s="65">
        <v>0</v>
      </c>
      <c r="J37" s="65">
        <v>0</v>
      </c>
    </row>
    <row r="38" spans="1:10" s="1" customFormat="1" x14ac:dyDescent="0.2">
      <c r="A38" s="11"/>
      <c r="B38" s="10"/>
      <c r="C38" s="10"/>
      <c r="D38" s="11" t="s">
        <v>62</v>
      </c>
      <c r="E38" s="65">
        <v>0</v>
      </c>
      <c r="F38" s="65">
        <v>0</v>
      </c>
      <c r="G38" s="65">
        <v>0</v>
      </c>
      <c r="H38" s="65">
        <v>0</v>
      </c>
      <c r="I38" s="65">
        <v>0</v>
      </c>
      <c r="J38" s="65">
        <v>0</v>
      </c>
    </row>
    <row r="39" spans="1:10" x14ac:dyDescent="0.2">
      <c r="A39" s="8"/>
      <c r="B39" s="10"/>
      <c r="C39" s="21"/>
      <c r="D39" s="8" t="s">
        <v>63</v>
      </c>
      <c r="E39" s="65">
        <v>0</v>
      </c>
      <c r="F39" s="65">
        <v>0</v>
      </c>
      <c r="G39" s="65">
        <v>0</v>
      </c>
      <c r="H39" s="65">
        <v>0</v>
      </c>
      <c r="I39" s="65">
        <v>0</v>
      </c>
      <c r="J39" s="65">
        <v>0</v>
      </c>
    </row>
    <row r="40" spans="1:10" ht="43.5" customHeight="1" x14ac:dyDescent="0.2">
      <c r="A40" s="8"/>
      <c r="B40" s="10"/>
      <c r="D40" s="23" t="s">
        <v>64</v>
      </c>
      <c r="E40" s="65">
        <v>0</v>
      </c>
      <c r="F40" s="65">
        <v>0</v>
      </c>
      <c r="G40" s="65">
        <v>0</v>
      </c>
      <c r="H40" s="65">
        <v>0</v>
      </c>
      <c r="I40" s="65">
        <v>0</v>
      </c>
      <c r="J40" s="65">
        <v>0</v>
      </c>
    </row>
    <row r="41" spans="1:10" x14ac:dyDescent="0.2">
      <c r="A41" s="8"/>
      <c r="B41" s="10"/>
      <c r="D41" s="23" t="s">
        <v>65</v>
      </c>
      <c r="E41" s="65">
        <v>0</v>
      </c>
      <c r="F41" s="65">
        <v>0</v>
      </c>
      <c r="G41" s="65">
        <v>0</v>
      </c>
      <c r="H41" s="65">
        <v>0</v>
      </c>
      <c r="I41" s="65">
        <v>0</v>
      </c>
      <c r="J41" s="65">
        <v>0</v>
      </c>
    </row>
    <row r="42" spans="1:10" x14ac:dyDescent="0.2">
      <c r="A42" s="11">
        <v>20</v>
      </c>
      <c r="B42" s="10"/>
      <c r="C42" s="21"/>
      <c r="D42" s="11" t="s">
        <v>66</v>
      </c>
      <c r="E42" s="66">
        <f t="shared" ref="E42:J42" si="6">E43+E54+E55+E60+E65+E69+E72+E73+E74+E75+E76+E77+E78+E83+E111+E79+E82+E110+E80+E81</f>
      </c>
      <c r="F42" s="66">
        <f t="shared" si="6"/>
      </c>
      <c r="G42" s="66">
        <f t="shared" si="6"/>
      </c>
      <c r="H42" s="66">
        <f t="shared" si="6"/>
      </c>
      <c r="I42" s="66">
        <f t="shared" si="6"/>
      </c>
      <c r="J42" s="66">
        <f t="shared" si="6"/>
      </c>
    </row>
    <row r="43" spans="1:10" x14ac:dyDescent="0.2">
      <c r="A43" s="8"/>
      <c r="B43" s="10" t="s">
        <v>21</v>
      </c>
      <c r="C43" s="21"/>
      <c r="D43" s="11" t="s">
        <v>67</v>
      </c>
      <c r="E43" s="66">
        <f t="shared" ref="E43:J43" si="7">E44+E45+E46+E47+E48+E49+E50+E51+E52+E53</f>
      </c>
      <c r="F43" s="66">
        <f t="shared" si="7"/>
      </c>
      <c r="G43" s="66">
        <f t="shared" si="7"/>
      </c>
      <c r="H43" s="66">
        <f t="shared" si="7"/>
      </c>
      <c r="I43" s="66">
        <f t="shared" si="7"/>
      </c>
      <c r="J43" s="66">
        <f t="shared" si="7"/>
      </c>
    </row>
    <row r="44" spans="1:10" x14ac:dyDescent="0.2">
      <c r="A44" s="8"/>
      <c r="B44" s="10"/>
      <c r="C44" s="21" t="s">
        <v>21</v>
      </c>
      <c r="D44" s="8" t="s">
        <v>68</v>
      </c>
      <c r="E44" s="65">
        <v>0</v>
      </c>
      <c r="F44" s="65">
        <v>0</v>
      </c>
      <c r="G44" s="65">
        <v>0</v>
      </c>
      <c r="H44" s="65">
        <v>0</v>
      </c>
      <c r="I44" s="65">
        <v>0</v>
      </c>
      <c r="J44" s="65">
        <v>0</v>
      </c>
    </row>
    <row r="45" spans="1:10" x14ac:dyDescent="0.2">
      <c r="A45" s="8"/>
      <c r="B45" s="10"/>
      <c r="C45" s="21" t="s">
        <v>23</v>
      </c>
      <c r="D45" s="8" t="s">
        <v>69</v>
      </c>
      <c r="E45" s="65">
        <v>0</v>
      </c>
      <c r="F45" s="65">
        <v>0</v>
      </c>
      <c r="G45" s="65">
        <v>0</v>
      </c>
      <c r="H45" s="65">
        <v>0</v>
      </c>
      <c r="I45" s="65">
        <v>0</v>
      </c>
      <c r="J45" s="65">
        <v>0</v>
      </c>
    </row>
    <row r="46" spans="1:10" x14ac:dyDescent="0.2">
      <c r="A46" s="8"/>
      <c r="B46" s="10"/>
      <c r="C46" s="21" t="s">
        <v>25</v>
      </c>
      <c r="D46" s="8" t="s">
        <v>70</v>
      </c>
      <c r="E46" s="65">
        <v>0</v>
      </c>
      <c r="F46" s="65">
        <v>0</v>
      </c>
      <c r="G46" s="65">
        <v>0</v>
      </c>
      <c r="H46" s="65">
        <v>0</v>
      </c>
      <c r="I46" s="65">
        <v>0</v>
      </c>
      <c r="J46" s="65">
        <v>0</v>
      </c>
    </row>
    <row r="47" spans="1:10" x14ac:dyDescent="0.2">
      <c r="A47" s="8"/>
      <c r="B47" s="10"/>
      <c r="C47" s="21" t="s">
        <v>27</v>
      </c>
      <c r="D47" s="8" t="s">
        <v>71</v>
      </c>
      <c r="E47" s="65">
        <v>0</v>
      </c>
      <c r="F47" s="65">
        <v>0</v>
      </c>
      <c r="G47" s="65">
        <v>0</v>
      </c>
      <c r="H47" s="65">
        <v>0</v>
      </c>
      <c r="I47" s="65">
        <v>0</v>
      </c>
      <c r="J47" s="65">
        <v>0</v>
      </c>
    </row>
    <row r="48" spans="1:10" x14ac:dyDescent="0.2">
      <c r="A48" s="8"/>
      <c r="B48" s="10"/>
      <c r="C48" s="21" t="s">
        <v>29</v>
      </c>
      <c r="D48" s="8" t="s">
        <v>72</v>
      </c>
      <c r="E48" s="65">
        <v>0</v>
      </c>
      <c r="F48" s="65">
        <v>0</v>
      </c>
      <c r="G48" s="65">
        <v>0</v>
      </c>
      <c r="H48" s="65">
        <v>0</v>
      </c>
      <c r="I48" s="65">
        <v>0</v>
      </c>
      <c r="J48" s="65">
        <v>0</v>
      </c>
    </row>
    <row r="49" spans="1:10" x14ac:dyDescent="0.2">
      <c r="A49" s="8"/>
      <c r="B49" s="10"/>
      <c r="C49" s="21" t="s">
        <v>31</v>
      </c>
      <c r="D49" s="8" t="s">
        <v>73</v>
      </c>
      <c r="E49" s="65">
        <v>0</v>
      </c>
      <c r="F49" s="65">
        <v>0</v>
      </c>
      <c r="G49" s="65">
        <v>0</v>
      </c>
      <c r="H49" s="65">
        <v>0</v>
      </c>
      <c r="I49" s="65">
        <v>0</v>
      </c>
      <c r="J49" s="65">
        <v>0</v>
      </c>
    </row>
    <row r="50" spans="1:10" x14ac:dyDescent="0.2">
      <c r="A50" s="8"/>
      <c r="B50" s="10"/>
      <c r="C50" s="21" t="s">
        <v>33</v>
      </c>
      <c r="D50" s="8" t="s">
        <v>74</v>
      </c>
      <c r="E50" s="65">
        <v>0</v>
      </c>
      <c r="F50" s="65">
        <v>0</v>
      </c>
      <c r="G50" s="65">
        <v>0</v>
      </c>
      <c r="H50" s="65">
        <v>0</v>
      </c>
      <c r="I50" s="65">
        <v>0</v>
      </c>
      <c r="J50" s="65">
        <v>0</v>
      </c>
    </row>
    <row r="51" spans="1:10" x14ac:dyDescent="0.2">
      <c r="A51" s="8"/>
      <c r="B51" s="10"/>
      <c r="C51" s="21" t="s">
        <v>35</v>
      </c>
      <c r="D51" s="8" t="s">
        <v>75</v>
      </c>
      <c r="E51" s="65">
        <v>0</v>
      </c>
      <c r="F51" s="65">
        <v>0</v>
      </c>
      <c r="G51" s="65">
        <v>0</v>
      </c>
      <c r="H51" s="65">
        <v>0</v>
      </c>
      <c r="I51" s="65">
        <v>0</v>
      </c>
      <c r="J51" s="65">
        <v>0</v>
      </c>
    </row>
    <row r="52" spans="1:10" x14ac:dyDescent="0.2">
      <c r="A52" s="8"/>
      <c r="B52" s="10"/>
      <c r="C52" s="21" t="s">
        <v>37</v>
      </c>
      <c r="D52" s="8" t="s">
        <v>76</v>
      </c>
      <c r="E52" s="65">
        <v>0</v>
      </c>
      <c r="F52" s="65">
        <v>0</v>
      </c>
      <c r="G52" s="65">
        <v>0</v>
      </c>
      <c r="H52" s="65">
        <v>0</v>
      </c>
      <c r="I52" s="65">
        <v>0</v>
      </c>
      <c r="J52" s="65">
        <v>0</v>
      </c>
    </row>
    <row r="53" spans="1:10" x14ac:dyDescent="0.2">
      <c r="A53" s="8"/>
      <c r="B53" s="10"/>
      <c r="C53" s="21">
        <v>30</v>
      </c>
      <c r="D53" s="8" t="s">
        <v>77</v>
      </c>
      <c r="E53" s="65">
        <v>0</v>
      </c>
      <c r="F53" s="65">
        <v>0</v>
      </c>
      <c r="G53" s="65">
        <v>0</v>
      </c>
      <c r="H53" s="65">
        <v>0</v>
      </c>
      <c r="I53" s="65">
        <v>0</v>
      </c>
      <c r="J53" s="65">
        <v>0</v>
      </c>
    </row>
    <row r="54" spans="1:10" x14ac:dyDescent="0.2">
      <c r="A54" s="11"/>
      <c r="B54" s="10" t="s">
        <v>23</v>
      </c>
      <c r="C54" s="10"/>
      <c r="D54" s="11" t="s">
        <v>78</v>
      </c>
      <c r="E54" s="65">
        <v>0</v>
      </c>
      <c r="F54" s="65">
        <v>0</v>
      </c>
      <c r="G54" s="65">
        <v>0</v>
      </c>
      <c r="H54" s="65">
        <v>0</v>
      </c>
      <c r="I54" s="65">
        <v>0</v>
      </c>
      <c r="J54" s="65">
        <v>0</v>
      </c>
    </row>
    <row r="55" spans="1:10" x14ac:dyDescent="0.2">
      <c r="A55" s="11"/>
      <c r="B55" s="10" t="s">
        <v>25</v>
      </c>
      <c r="C55" s="10"/>
      <c r="D55" s="11" t="s">
        <v>79</v>
      </c>
      <c r="E55" s="66">
        <f t="shared" ref="E55:J55" si="8">E56+E59</f>
      </c>
      <c r="F55" s="66">
        <f t="shared" si="8"/>
      </c>
      <c r="G55" s="66">
        <f t="shared" si="8"/>
      </c>
      <c r="H55" s="66">
        <f t="shared" si="8"/>
      </c>
      <c r="I55" s="66">
        <f t="shared" si="8"/>
      </c>
      <c r="J55" s="66">
        <f t="shared" si="8"/>
      </c>
    </row>
    <row r="56" spans="1:10" s="26" customFormat="1" x14ac:dyDescent="0.2">
      <c r="A56" s="24"/>
      <c r="B56" s="25"/>
      <c r="C56" s="25" t="s">
        <v>21</v>
      </c>
      <c r="D56" s="24" t="s">
        <v>80</v>
      </c>
      <c r="E56" s="68">
        <f t="shared" ref="E56:J56" si="9">+E57+E58</f>
      </c>
      <c r="F56" s="68">
        <f t="shared" si="9"/>
      </c>
      <c r="G56" s="68">
        <f t="shared" si="9"/>
      </c>
      <c r="H56" s="68">
        <f t="shared" si="9"/>
      </c>
      <c r="I56" s="68">
        <f t="shared" si="9"/>
      </c>
      <c r="J56" s="68">
        <f t="shared" si="9"/>
      </c>
    </row>
    <row r="57" spans="1:10" x14ac:dyDescent="0.2">
      <c r="A57" s="8"/>
      <c r="B57" s="10"/>
      <c r="C57" s="21"/>
      <c r="D57" s="8" t="s">
        <v>81</v>
      </c>
      <c r="E57" s="65">
        <v>0</v>
      </c>
      <c r="F57" s="65">
        <v>0</v>
      </c>
      <c r="G57" s="65">
        <v>0</v>
      </c>
      <c r="H57" s="65">
        <v>0</v>
      </c>
      <c r="I57" s="65">
        <v>0</v>
      </c>
      <c r="J57" s="65">
        <v>0</v>
      </c>
    </row>
    <row r="58" spans="1:10" ht="63.75" x14ac:dyDescent="0.2">
      <c r="A58" s="8"/>
      <c r="B58" s="10"/>
      <c r="C58" s="21"/>
      <c r="D58" s="27" t="s">
        <v>82</v>
      </c>
      <c r="E58" s="65">
        <v>0</v>
      </c>
      <c r="F58" s="65">
        <v>0</v>
      </c>
      <c r="G58" s="65">
        <v>0</v>
      </c>
      <c r="H58" s="65">
        <v>0</v>
      </c>
      <c r="I58" s="65">
        <v>0</v>
      </c>
      <c r="J58" s="65">
        <v>0</v>
      </c>
    </row>
    <row r="59" spans="1:10" x14ac:dyDescent="0.2">
      <c r="A59" s="8"/>
      <c r="B59" s="10"/>
      <c r="C59" s="21" t="s">
        <v>23</v>
      </c>
      <c r="D59" s="8" t="s">
        <v>83</v>
      </c>
      <c r="E59" s="65">
        <v>0</v>
      </c>
      <c r="F59" s="65">
        <v>0</v>
      </c>
      <c r="G59" s="65">
        <v>0</v>
      </c>
      <c r="H59" s="65">
        <v>0</v>
      </c>
      <c r="I59" s="65">
        <v>0</v>
      </c>
      <c r="J59" s="65">
        <v>0</v>
      </c>
    </row>
    <row r="60" spans="1:10" x14ac:dyDescent="0.2">
      <c r="A60" s="8"/>
      <c r="B60" s="10" t="s">
        <v>27</v>
      </c>
      <c r="C60" s="21"/>
      <c r="D60" s="11" t="s">
        <v>84</v>
      </c>
      <c r="E60" s="66">
        <f t="shared" ref="E60:J60" si="10">E61+E62+E63+E64</f>
      </c>
      <c r="F60" s="66">
        <f t="shared" si="10"/>
      </c>
      <c r="G60" s="66">
        <f t="shared" si="10"/>
      </c>
      <c r="H60" s="66">
        <f t="shared" si="10"/>
      </c>
      <c r="I60" s="66">
        <f t="shared" si="10"/>
      </c>
      <c r="J60" s="66">
        <f t="shared" si="10"/>
      </c>
    </row>
    <row r="61" spans="1:10" x14ac:dyDescent="0.2">
      <c r="A61" s="8"/>
      <c r="B61" s="10"/>
      <c r="C61" s="21" t="s">
        <v>21</v>
      </c>
      <c r="D61" s="8" t="s">
        <v>85</v>
      </c>
      <c r="E61" s="65">
        <v>0</v>
      </c>
      <c r="F61" s="65">
        <v>0</v>
      </c>
      <c r="G61" s="65">
        <v>0</v>
      </c>
      <c r="H61" s="65">
        <v>0</v>
      </c>
      <c r="I61" s="65">
        <v>0</v>
      </c>
      <c r="J61" s="65">
        <v>0</v>
      </c>
    </row>
    <row r="62" spans="1:10" x14ac:dyDescent="0.2">
      <c r="A62" s="8"/>
      <c r="B62" s="10"/>
      <c r="C62" s="21" t="s">
        <v>23</v>
      </c>
      <c r="D62" s="28" t="s">
        <v>86</v>
      </c>
      <c r="E62" s="65">
        <v>0</v>
      </c>
      <c r="F62" s="65">
        <v>0</v>
      </c>
      <c r="G62" s="65">
        <v>0</v>
      </c>
      <c r="H62" s="65">
        <v>0</v>
      </c>
      <c r="I62" s="65">
        <v>0</v>
      </c>
      <c r="J62" s="65">
        <v>0</v>
      </c>
    </row>
    <row r="63" spans="1:10" x14ac:dyDescent="0.2">
      <c r="A63" s="8"/>
      <c r="B63" s="10"/>
      <c r="C63" s="21" t="s">
        <v>25</v>
      </c>
      <c r="D63" s="8" t="s">
        <v>87</v>
      </c>
      <c r="E63" s="65">
        <v>0</v>
      </c>
      <c r="F63" s="65">
        <v>0</v>
      </c>
      <c r="G63" s="65">
        <v>0</v>
      </c>
      <c r="H63" s="65">
        <v>0</v>
      </c>
      <c r="I63" s="65">
        <v>0</v>
      </c>
      <c r="J63" s="65">
        <v>0</v>
      </c>
    </row>
    <row r="64" spans="1:10" x14ac:dyDescent="0.2">
      <c r="A64" s="8"/>
      <c r="B64" s="10"/>
      <c r="C64" s="21" t="s">
        <v>27</v>
      </c>
      <c r="D64" s="8" t="s">
        <v>88</v>
      </c>
      <c r="E64" s="65">
        <v>0</v>
      </c>
      <c r="F64" s="65">
        <v>0</v>
      </c>
      <c r="G64" s="65">
        <v>0</v>
      </c>
      <c r="H64" s="65">
        <v>0</v>
      </c>
      <c r="I64" s="65">
        <v>0</v>
      </c>
      <c r="J64" s="65">
        <v>0</v>
      </c>
    </row>
    <row r="65" spans="1:10" x14ac:dyDescent="0.2">
      <c r="A65" s="8"/>
      <c r="B65" s="10" t="s">
        <v>29</v>
      </c>
      <c r="C65" s="29"/>
      <c r="D65" s="30" t="s">
        <v>89</v>
      </c>
      <c r="E65" s="66">
        <f t="shared" ref="E65:J65" si="11">E66+E67+E68</f>
      </c>
      <c r="F65" s="66">
        <f t="shared" si="11"/>
      </c>
      <c r="G65" s="66">
        <f t="shared" si="11"/>
      </c>
      <c r="H65" s="66">
        <f t="shared" si="11"/>
      </c>
      <c r="I65" s="66">
        <f t="shared" si="11"/>
      </c>
      <c r="J65" s="66">
        <f t="shared" si="11"/>
      </c>
    </row>
    <row r="66" spans="1:10" x14ac:dyDescent="0.2">
      <c r="A66" s="8"/>
      <c r="B66" s="10"/>
      <c r="C66" s="31" t="s">
        <v>21</v>
      </c>
      <c r="D66" s="28" t="s">
        <v>90</v>
      </c>
      <c r="E66" s="65">
        <v>0</v>
      </c>
      <c r="F66" s="65">
        <v>0</v>
      </c>
      <c r="G66" s="65">
        <v>0</v>
      </c>
      <c r="H66" s="65">
        <v>0</v>
      </c>
      <c r="I66" s="65">
        <v>0</v>
      </c>
      <c r="J66" s="65">
        <v>0</v>
      </c>
    </row>
    <row r="67" spans="1:10" x14ac:dyDescent="0.2">
      <c r="A67" s="8"/>
      <c r="B67" s="10"/>
      <c r="C67" s="31" t="s">
        <v>23</v>
      </c>
      <c r="D67" s="28" t="s">
        <v>91</v>
      </c>
      <c r="E67" s="65">
        <v>0</v>
      </c>
      <c r="F67" s="65">
        <v>0</v>
      </c>
      <c r="G67" s="65">
        <v>0</v>
      </c>
      <c r="H67" s="65">
        <v>0</v>
      </c>
      <c r="I67" s="65">
        <v>0</v>
      </c>
      <c r="J67" s="65">
        <v>0</v>
      </c>
    </row>
    <row r="68" spans="1:10" x14ac:dyDescent="0.2">
      <c r="A68" s="8"/>
      <c r="B68" s="10"/>
      <c r="C68" s="31" t="s">
        <v>25</v>
      </c>
      <c r="D68" s="28" t="s">
        <v>92</v>
      </c>
      <c r="E68" s="65">
        <v>0</v>
      </c>
      <c r="F68" s="65">
        <v>0</v>
      </c>
      <c r="G68" s="65">
        <v>0</v>
      </c>
      <c r="H68" s="65">
        <v>0</v>
      </c>
      <c r="I68" s="65">
        <v>0</v>
      </c>
      <c r="J68" s="65">
        <v>0</v>
      </c>
    </row>
    <row r="69" spans="1:10" x14ac:dyDescent="0.2">
      <c r="A69" s="8"/>
      <c r="B69" s="10" t="s">
        <v>31</v>
      </c>
      <c r="C69" s="10"/>
      <c r="D69" s="11" t="s">
        <v>93</v>
      </c>
      <c r="E69" s="66">
        <f t="shared" ref="E69:J69" si="12">E70+E71</f>
      </c>
      <c r="F69" s="66">
        <f t="shared" si="12"/>
      </c>
      <c r="G69" s="66">
        <f t="shared" si="12"/>
      </c>
      <c r="H69" s="66">
        <f t="shared" si="12"/>
      </c>
      <c r="I69" s="66">
        <f t="shared" si="12"/>
      </c>
      <c r="J69" s="66">
        <f t="shared" si="12"/>
      </c>
    </row>
    <row r="70" spans="1:10" x14ac:dyDescent="0.2">
      <c r="A70" s="8"/>
      <c r="B70" s="10"/>
      <c r="C70" s="21" t="s">
        <v>21</v>
      </c>
      <c r="D70" s="8" t="s">
        <v>94</v>
      </c>
      <c r="E70" s="65">
        <v>0</v>
      </c>
      <c r="F70" s="65">
        <v>0</v>
      </c>
      <c r="G70" s="65">
        <v>0</v>
      </c>
      <c r="H70" s="65">
        <v>0</v>
      </c>
      <c r="I70" s="65">
        <v>0</v>
      </c>
      <c r="J70" s="65">
        <v>0</v>
      </c>
    </row>
    <row r="71" spans="1:10" x14ac:dyDescent="0.2">
      <c r="A71" s="8"/>
      <c r="B71" s="10"/>
      <c r="C71" s="21" t="s">
        <v>23</v>
      </c>
      <c r="D71" s="8" t="s">
        <v>95</v>
      </c>
      <c r="E71" s="65">
        <v>0</v>
      </c>
      <c r="F71" s="65">
        <v>0</v>
      </c>
      <c r="G71" s="65">
        <v>0</v>
      </c>
      <c r="H71" s="65">
        <v>0</v>
      </c>
      <c r="I71" s="65">
        <v>0</v>
      </c>
      <c r="J71" s="65">
        <v>0</v>
      </c>
    </row>
    <row r="72" spans="1:10" x14ac:dyDescent="0.2">
      <c r="A72" s="11"/>
      <c r="B72" s="10" t="s">
        <v>37</v>
      </c>
      <c r="C72" s="10"/>
      <c r="D72" s="11" t="s">
        <v>96</v>
      </c>
      <c r="E72" s="65">
        <v>0</v>
      </c>
      <c r="F72" s="65">
        <v>0</v>
      </c>
      <c r="G72" s="65">
        <v>0</v>
      </c>
      <c r="H72" s="65">
        <v>0</v>
      </c>
      <c r="I72" s="65">
        <v>0</v>
      </c>
      <c r="J72" s="65">
        <v>0</v>
      </c>
    </row>
    <row r="73" spans="1:10" x14ac:dyDescent="0.2">
      <c r="A73" s="11"/>
      <c r="B73" s="10">
        <v>10</v>
      </c>
      <c r="C73" s="10"/>
      <c r="D73" s="32" t="s">
        <v>97</v>
      </c>
      <c r="E73" s="65">
        <v>0</v>
      </c>
      <c r="F73" s="65">
        <v>0</v>
      </c>
      <c r="G73" s="65">
        <v>0</v>
      </c>
      <c r="H73" s="65">
        <v>0</v>
      </c>
      <c r="I73" s="65">
        <v>0</v>
      </c>
      <c r="J73" s="65">
        <v>0</v>
      </c>
    </row>
    <row r="74" spans="1:10" x14ac:dyDescent="0.2">
      <c r="A74" s="11"/>
      <c r="B74" s="10">
        <v>11</v>
      </c>
      <c r="C74" s="10"/>
      <c r="D74" s="11" t="s">
        <v>98</v>
      </c>
      <c r="E74" s="65">
        <v>0</v>
      </c>
      <c r="F74" s="65">
        <v>0</v>
      </c>
      <c r="G74" s="65">
        <v>0</v>
      </c>
      <c r="H74" s="65">
        <v>0</v>
      </c>
      <c r="I74" s="65">
        <v>0</v>
      </c>
      <c r="J74" s="65">
        <v>0</v>
      </c>
    </row>
    <row r="75" spans="1:10" x14ac:dyDescent="0.2">
      <c r="A75" s="11"/>
      <c r="B75" s="10">
        <v>12</v>
      </c>
      <c r="C75" s="10"/>
      <c r="D75" s="11" t="s">
        <v>99</v>
      </c>
      <c r="E75" s="65">
        <v>0</v>
      </c>
      <c r="F75" s="65">
        <v>0</v>
      </c>
      <c r="G75" s="65">
        <v>0</v>
      </c>
      <c r="H75" s="65">
        <v>0</v>
      </c>
      <c r="I75" s="65">
        <v>0</v>
      </c>
      <c r="J75" s="65">
        <v>0</v>
      </c>
    </row>
    <row r="76" spans="1:10" x14ac:dyDescent="0.2">
      <c r="A76" s="11"/>
      <c r="B76" s="10">
        <v>13</v>
      </c>
      <c r="C76" s="10"/>
      <c r="D76" s="11" t="s">
        <v>100</v>
      </c>
      <c r="E76" s="65">
        <v>0</v>
      </c>
      <c r="F76" s="65">
        <v>0</v>
      </c>
      <c r="G76" s="65">
        <v>0</v>
      </c>
      <c r="H76" s="65">
        <v>0</v>
      </c>
      <c r="I76" s="65">
        <v>0</v>
      </c>
      <c r="J76" s="65">
        <v>0</v>
      </c>
    </row>
    <row r="77" spans="1:10" x14ac:dyDescent="0.2">
      <c r="A77" s="11"/>
      <c r="B77" s="10">
        <v>14</v>
      </c>
      <c r="C77" s="10"/>
      <c r="D77" s="33" t="s">
        <v>101</v>
      </c>
      <c r="E77" s="65">
        <v>0</v>
      </c>
      <c r="F77" s="65">
        <v>0</v>
      </c>
      <c r="G77" s="65">
        <v>0</v>
      </c>
      <c r="H77" s="65">
        <v>0</v>
      </c>
      <c r="I77" s="65">
        <v>0</v>
      </c>
      <c r="J77" s="65">
        <v>0</v>
      </c>
    </row>
    <row r="78" spans="1:10" ht="25.5" x14ac:dyDescent="0.2">
      <c r="A78" s="11"/>
      <c r="B78" s="10">
        <v>25</v>
      </c>
      <c r="C78" s="11"/>
      <c r="D78" s="13" t="s">
        <v>102</v>
      </c>
      <c r="E78" s="65">
        <v>0</v>
      </c>
      <c r="F78" s="65">
        <v>0</v>
      </c>
      <c r="G78" s="65">
        <v>0</v>
      </c>
      <c r="H78" s="65">
        <v>0</v>
      </c>
      <c r="I78" s="65">
        <v>0</v>
      </c>
      <c r="J78" s="65">
        <v>0</v>
      </c>
    </row>
    <row r="79" spans="1:10" x14ac:dyDescent="0.2">
      <c r="A79" s="11"/>
      <c r="B79" s="10">
        <v>27</v>
      </c>
      <c r="C79" s="11"/>
      <c r="D79" s="13" t="s">
        <v>103</v>
      </c>
      <c r="E79" s="65">
        <v>0</v>
      </c>
      <c r="F79" s="65">
        <v>0</v>
      </c>
      <c r="G79" s="65">
        <v>0</v>
      </c>
      <c r="H79" s="65">
        <v>0</v>
      </c>
      <c r="I79" s="65">
        <v>0</v>
      </c>
      <c r="J79" s="65">
        <v>0</v>
      </c>
    </row>
    <row r="80" spans="1:10" ht="25.5" x14ac:dyDescent="0.2">
      <c r="A80" s="11"/>
      <c r="B80" s="10"/>
      <c r="C80" s="11"/>
      <c r="D80" s="34" t="s">
        <v>104</v>
      </c>
      <c r="E80" s="65">
        <v>0</v>
      </c>
      <c r="F80" s="65">
        <v>0</v>
      </c>
      <c r="G80" s="65">
        <v>0</v>
      </c>
      <c r="H80" s="65">
        <v>0</v>
      </c>
      <c r="I80" s="65">
        <v>0</v>
      </c>
      <c r="J80" s="65">
        <v>0</v>
      </c>
    </row>
    <row r="81" spans="1:10" ht="63.75" x14ac:dyDescent="0.2">
      <c r="A81" s="11"/>
      <c r="B81" s="10"/>
      <c r="C81" s="11"/>
      <c r="D81" s="34" t="s">
        <v>105</v>
      </c>
      <c r="E81" s="65">
        <v>0</v>
      </c>
      <c r="F81" s="65">
        <v>0</v>
      </c>
      <c r="G81" s="65">
        <v>0</v>
      </c>
      <c r="H81" s="65">
        <v>0</v>
      </c>
      <c r="I81" s="65">
        <v>0</v>
      </c>
      <c r="J81" s="65">
        <v>0</v>
      </c>
    </row>
    <row r="82" spans="1:10" ht="38.25" x14ac:dyDescent="0.2">
      <c r="A82" s="11"/>
      <c r="B82" s="10"/>
      <c r="C82" s="11"/>
      <c r="D82" s="13" t="s">
        <v>106</v>
      </c>
      <c r="E82" s="65">
        <v>0</v>
      </c>
      <c r="F82" s="65">
        <v>0</v>
      </c>
      <c r="G82" s="65">
        <v>0</v>
      </c>
      <c r="H82" s="65">
        <v>0</v>
      </c>
      <c r="I82" s="65">
        <v>0</v>
      </c>
      <c r="J82" s="65">
        <v>0</v>
      </c>
    </row>
    <row r="83" spans="1:10" x14ac:dyDescent="0.2">
      <c r="A83" s="11"/>
      <c r="B83" s="10"/>
      <c r="C83" s="11"/>
      <c r="D83" s="11" t="s">
        <v>107</v>
      </c>
      <c r="E83" s="66">
        <f t="shared" ref="E83:J83" si="13">+E84+E91+E92+E93+E94+E95+E96+E97+E98+E99+E100+E101+E102+E107+E108+E109</f>
      </c>
      <c r="F83" s="66">
        <f t="shared" si="13"/>
      </c>
      <c r="G83" s="66">
        <f t="shared" si="13"/>
      </c>
      <c r="H83" s="66">
        <f t="shared" si="13"/>
      </c>
      <c r="I83" s="66">
        <f t="shared" si="13"/>
      </c>
      <c r="J83" s="66">
        <f t="shared" si="13"/>
      </c>
    </row>
    <row r="84" spans="1:10" x14ac:dyDescent="0.2">
      <c r="A84" s="35"/>
      <c r="B84" s="36"/>
      <c r="C84" s="35"/>
      <c r="D84" s="37" t="s">
        <v>108</v>
      </c>
      <c r="E84" s="68">
        <f t="shared" ref="E84:J84" si="14">+E85+E86+E87+E88+E89+E90</f>
      </c>
      <c r="F84" s="68">
        <f t="shared" si="14"/>
      </c>
      <c r="G84" s="68">
        <f t="shared" si="14"/>
      </c>
      <c r="H84" s="68">
        <f t="shared" si="14"/>
      </c>
      <c r="I84" s="68">
        <f t="shared" si="14"/>
      </c>
      <c r="J84" s="68">
        <f t="shared" si="14"/>
      </c>
    </row>
    <row r="85" spans="1:10" ht="25.5" x14ac:dyDescent="0.2">
      <c r="A85" s="35"/>
      <c r="B85" s="36"/>
      <c r="C85" s="35"/>
      <c r="D85" s="38" t="s">
        <v>109</v>
      </c>
      <c r="E85" s="65">
        <v>0</v>
      </c>
      <c r="F85" s="65">
        <v>0</v>
      </c>
      <c r="G85" s="65">
        <v>0</v>
      </c>
      <c r="H85" s="65">
        <v>0</v>
      </c>
      <c r="I85" s="65">
        <v>0</v>
      </c>
      <c r="J85" s="65">
        <v>0</v>
      </c>
    </row>
    <row r="86" spans="1:10" ht="25.5" x14ac:dyDescent="0.2">
      <c r="A86" s="35"/>
      <c r="B86" s="36"/>
      <c r="C86" s="35"/>
      <c r="D86" s="38" t="s">
        <v>110</v>
      </c>
      <c r="E86" s="65">
        <v>0</v>
      </c>
      <c r="F86" s="65">
        <v>0</v>
      </c>
      <c r="G86" s="65">
        <v>0</v>
      </c>
      <c r="H86" s="65">
        <v>0</v>
      </c>
      <c r="I86" s="65">
        <v>0</v>
      </c>
      <c r="J86" s="65">
        <v>0</v>
      </c>
    </row>
    <row r="87" spans="1:10" ht="51" x14ac:dyDescent="0.2">
      <c r="A87" s="35"/>
      <c r="B87" s="36"/>
      <c r="C87" s="35"/>
      <c r="D87" s="38" t="s">
        <v>111</v>
      </c>
      <c r="E87" s="65">
        <v>0</v>
      </c>
      <c r="F87" s="65">
        <v>0</v>
      </c>
      <c r="G87" s="65">
        <v>0</v>
      </c>
      <c r="H87" s="65">
        <v>0</v>
      </c>
      <c r="I87" s="65">
        <v>0</v>
      </c>
      <c r="J87" s="65">
        <v>0</v>
      </c>
    </row>
    <row r="88" spans="1:10" ht="25.5" x14ac:dyDescent="0.2">
      <c r="A88" s="35"/>
      <c r="B88" s="36"/>
      <c r="C88" s="35"/>
      <c r="D88" s="38" t="s">
        <v>112</v>
      </c>
      <c r="E88" s="65">
        <v>0</v>
      </c>
      <c r="F88" s="65">
        <v>0</v>
      </c>
      <c r="G88" s="65">
        <v>0</v>
      </c>
      <c r="H88" s="65">
        <v>0</v>
      </c>
      <c r="I88" s="65">
        <v>0</v>
      </c>
      <c r="J88" s="65">
        <v>0</v>
      </c>
    </row>
    <row r="89" spans="1:10" ht="25.5" x14ac:dyDescent="0.2">
      <c r="A89" s="35"/>
      <c r="B89" s="36"/>
      <c r="C89" s="35"/>
      <c r="D89" s="38" t="s">
        <v>113</v>
      </c>
      <c r="E89" s="65">
        <v>0</v>
      </c>
      <c r="F89" s="65">
        <v>0</v>
      </c>
      <c r="G89" s="65">
        <v>0</v>
      </c>
      <c r="H89" s="65">
        <v>0</v>
      </c>
      <c r="I89" s="65">
        <v>0</v>
      </c>
      <c r="J89" s="65">
        <v>0</v>
      </c>
    </row>
    <row r="90" spans="1:10" x14ac:dyDescent="0.2">
      <c r="A90" s="35"/>
      <c r="B90" s="36"/>
      <c r="C90" s="35"/>
      <c r="D90" s="38" t="s">
        <v>114</v>
      </c>
      <c r="E90" s="65">
        <v>0</v>
      </c>
      <c r="F90" s="65">
        <v>0</v>
      </c>
      <c r="G90" s="65">
        <v>0</v>
      </c>
      <c r="H90" s="65">
        <v>0</v>
      </c>
      <c r="I90" s="65">
        <v>0</v>
      </c>
      <c r="J90" s="65">
        <v>0</v>
      </c>
    </row>
    <row r="91" spans="1:10" x14ac:dyDescent="0.2">
      <c r="A91" s="8"/>
      <c r="B91" s="10"/>
      <c r="C91" s="8"/>
      <c r="D91" s="39" t="s">
        <v>115</v>
      </c>
      <c r="E91" s="65">
        <v>0</v>
      </c>
      <c r="F91" s="65">
        <v>0</v>
      </c>
      <c r="G91" s="65">
        <v>0</v>
      </c>
      <c r="H91" s="65">
        <v>0</v>
      </c>
      <c r="I91" s="65">
        <v>0</v>
      </c>
      <c r="J91" s="65">
        <v>0</v>
      </c>
    </row>
    <row r="92" spans="1:10" ht="25.5" x14ac:dyDescent="0.2">
      <c r="A92" s="8"/>
      <c r="B92" s="10"/>
      <c r="C92" s="8"/>
      <c r="D92" s="39" t="s">
        <v>116</v>
      </c>
      <c r="E92" s="65">
        <v>0</v>
      </c>
      <c r="F92" s="65">
        <v>0</v>
      </c>
      <c r="G92" s="65">
        <v>0</v>
      </c>
      <c r="H92" s="65">
        <v>0</v>
      </c>
      <c r="I92" s="65">
        <v>0</v>
      </c>
      <c r="J92" s="65">
        <v>0</v>
      </c>
    </row>
    <row r="93" spans="1:10" x14ac:dyDescent="0.2">
      <c r="A93" s="8"/>
      <c r="B93" s="10"/>
      <c r="C93" s="8"/>
      <c r="D93" s="39" t="s">
        <v>117</v>
      </c>
      <c r="E93" s="65">
        <v>0</v>
      </c>
      <c r="F93" s="65">
        <v>0</v>
      </c>
      <c r="G93" s="65">
        <v>0</v>
      </c>
      <c r="H93" s="65">
        <v>0</v>
      </c>
      <c r="I93" s="65">
        <v>0</v>
      </c>
      <c r="J93" s="65">
        <v>0</v>
      </c>
    </row>
    <row r="94" spans="1:10" ht="25.5" x14ac:dyDescent="0.2">
      <c r="A94" s="8"/>
      <c r="B94" s="10"/>
      <c r="C94" s="8"/>
      <c r="D94" s="40" t="s">
        <v>118</v>
      </c>
      <c r="E94" s="65">
        <v>0</v>
      </c>
      <c r="F94" s="65">
        <v>0</v>
      </c>
      <c r="G94" s="65">
        <v>0</v>
      </c>
      <c r="H94" s="65">
        <v>0</v>
      </c>
      <c r="I94" s="65">
        <v>0</v>
      </c>
      <c r="J94" s="65">
        <v>0</v>
      </c>
    </row>
    <row r="95" spans="1:10" ht="25.5" x14ac:dyDescent="0.2">
      <c r="A95" s="8"/>
      <c r="B95" s="10"/>
      <c r="C95" s="8"/>
      <c r="D95" s="39" t="s">
        <v>119</v>
      </c>
      <c r="E95" s="65">
        <v>0</v>
      </c>
      <c r="F95" s="65">
        <v>0</v>
      </c>
      <c r="G95" s="65">
        <v>0</v>
      </c>
      <c r="H95" s="65">
        <v>0</v>
      </c>
      <c r="I95" s="65">
        <v>0</v>
      </c>
      <c r="J95" s="65">
        <v>0</v>
      </c>
    </row>
    <row r="96" spans="1:10" ht="38.25" x14ac:dyDescent="0.2">
      <c r="A96" s="8"/>
      <c r="B96" s="10"/>
      <c r="C96" s="8"/>
      <c r="D96" s="41" t="s">
        <v>120</v>
      </c>
      <c r="E96" s="65">
        <v>0</v>
      </c>
      <c r="F96" s="65">
        <v>0</v>
      </c>
      <c r="G96" s="65">
        <v>0</v>
      </c>
      <c r="H96" s="65">
        <v>0</v>
      </c>
      <c r="I96" s="65">
        <v>0</v>
      </c>
      <c r="J96" s="65">
        <v>0</v>
      </c>
    </row>
    <row r="97" spans="1:10" x14ac:dyDescent="0.2">
      <c r="A97" s="8"/>
      <c r="B97" s="10"/>
      <c r="C97" s="8"/>
      <c r="D97" s="39" t="s">
        <v>121</v>
      </c>
      <c r="E97" s="65">
        <v>0</v>
      </c>
      <c r="F97" s="65">
        <v>0</v>
      </c>
      <c r="G97" s="65">
        <v>0</v>
      </c>
      <c r="H97" s="65">
        <v>0</v>
      </c>
      <c r="I97" s="65">
        <v>0</v>
      </c>
      <c r="J97" s="65">
        <v>0</v>
      </c>
    </row>
    <row r="98" spans="1:10" x14ac:dyDescent="0.2">
      <c r="A98" s="8"/>
      <c r="B98" s="10"/>
      <c r="C98" s="8"/>
      <c r="D98" s="39" t="s">
        <v>122</v>
      </c>
      <c r="E98" s="65">
        <v>0</v>
      </c>
      <c r="F98" s="65">
        <v>0</v>
      </c>
      <c r="G98" s="65">
        <v>0</v>
      </c>
      <c r="H98" s="65">
        <v>0</v>
      </c>
      <c r="I98" s="65">
        <v>0</v>
      </c>
      <c r="J98" s="65">
        <v>0</v>
      </c>
    </row>
    <row r="99" spans="1:10" ht="25.5" x14ac:dyDescent="0.2">
      <c r="A99" s="35"/>
      <c r="B99" s="36"/>
      <c r="C99" s="35"/>
      <c r="D99" s="39" t="s">
        <v>123</v>
      </c>
      <c r="E99" s="65">
        <v>0</v>
      </c>
      <c r="F99" s="65">
        <v>0</v>
      </c>
      <c r="G99" s="65">
        <v>0</v>
      </c>
      <c r="H99" s="65">
        <v>0</v>
      </c>
      <c r="I99" s="65">
        <v>0</v>
      </c>
      <c r="J99" s="65">
        <v>0</v>
      </c>
    </row>
    <row r="100" spans="1:10" x14ac:dyDescent="0.2">
      <c r="A100" s="35"/>
      <c r="B100" s="36"/>
      <c r="C100" s="35"/>
      <c r="D100" s="41" t="s">
        <v>124</v>
      </c>
      <c r="E100" s="65">
        <v>0</v>
      </c>
      <c r="F100" s="65">
        <v>0</v>
      </c>
      <c r="G100" s="65">
        <v>0</v>
      </c>
      <c r="H100" s="65">
        <v>0</v>
      </c>
      <c r="I100" s="65">
        <v>0</v>
      </c>
      <c r="J100" s="65">
        <v>0</v>
      </c>
    </row>
    <row r="101" spans="1:10" x14ac:dyDescent="0.2">
      <c r="A101" s="35"/>
      <c r="B101" s="36"/>
      <c r="C101" s="35"/>
      <c r="D101" s="39" t="s">
        <v>125</v>
      </c>
      <c r="E101" s="65">
        <v>0</v>
      </c>
      <c r="F101" s="65">
        <v>0</v>
      </c>
      <c r="G101" s="65">
        <v>0</v>
      </c>
      <c r="H101" s="65">
        <v>0</v>
      </c>
      <c r="I101" s="65">
        <v>0</v>
      </c>
      <c r="J101" s="65">
        <v>0</v>
      </c>
    </row>
    <row r="102" spans="1:10" s="1" customFormat="1" ht="25.5" x14ac:dyDescent="0.2">
      <c r="A102" s="42"/>
      <c r="B102" s="36"/>
      <c r="C102" s="42"/>
      <c r="D102" s="43" t="s">
        <v>126</v>
      </c>
      <c r="E102" s="66">
        <f t="shared" ref="E102:J102" si="15">+E103+E104+E105+E106</f>
      </c>
      <c r="F102" s="66">
        <f t="shared" si="15"/>
      </c>
      <c r="G102" s="66">
        <f t="shared" si="15"/>
      </c>
      <c r="H102" s="66">
        <f t="shared" si="15"/>
      </c>
      <c r="I102" s="66">
        <f t="shared" si="15"/>
      </c>
      <c r="J102" s="66">
        <f t="shared" si="15"/>
      </c>
    </row>
    <row r="103" spans="1:10" x14ac:dyDescent="0.2">
      <c r="A103" s="35"/>
      <c r="B103" s="36"/>
      <c r="C103" s="35"/>
      <c r="D103" s="44" t="s">
        <v>127</v>
      </c>
      <c r="E103" s="65">
        <v>0</v>
      </c>
      <c r="F103" s="65">
        <v>0</v>
      </c>
      <c r="G103" s="65">
        <v>0</v>
      </c>
      <c r="H103" s="65">
        <v>0</v>
      </c>
      <c r="I103" s="65">
        <v>0</v>
      </c>
      <c r="J103" s="65">
        <v>0</v>
      </c>
    </row>
    <row r="104" spans="1:10" ht="25.5" x14ac:dyDescent="0.2">
      <c r="A104" s="35"/>
      <c r="B104" s="36"/>
      <c r="C104" s="35"/>
      <c r="D104" s="44" t="s">
        <v>128</v>
      </c>
      <c r="E104" s="65">
        <v>0</v>
      </c>
      <c r="F104" s="65">
        <v>0</v>
      </c>
      <c r="G104" s="65">
        <v>0</v>
      </c>
      <c r="H104" s="65">
        <v>0</v>
      </c>
      <c r="I104" s="65">
        <v>0</v>
      </c>
      <c r="J104" s="65">
        <v>0</v>
      </c>
    </row>
    <row r="105" spans="1:10" ht="25.5" x14ac:dyDescent="0.2">
      <c r="A105" s="35"/>
      <c r="B105" s="36"/>
      <c r="C105" s="35"/>
      <c r="D105" s="44" t="s">
        <v>129</v>
      </c>
      <c r="E105" s="65">
        <v>0</v>
      </c>
      <c r="F105" s="65">
        <v>0</v>
      </c>
      <c r="G105" s="65">
        <v>0</v>
      </c>
      <c r="H105" s="65">
        <v>0</v>
      </c>
      <c r="I105" s="65">
        <v>0</v>
      </c>
      <c r="J105" s="65">
        <v>0</v>
      </c>
    </row>
    <row r="106" spans="1:10" ht="25.5" x14ac:dyDescent="0.2">
      <c r="A106" s="35"/>
      <c r="B106" s="36"/>
      <c r="C106" s="35"/>
      <c r="D106" s="44" t="s">
        <v>130</v>
      </c>
      <c r="E106" s="65">
        <v>0</v>
      </c>
      <c r="F106" s="65">
        <v>0</v>
      </c>
      <c r="G106" s="65">
        <v>0</v>
      </c>
      <c r="H106" s="65">
        <v>0</v>
      </c>
      <c r="I106" s="65">
        <v>0</v>
      </c>
      <c r="J106" s="65">
        <v>0</v>
      </c>
    </row>
    <row r="107" spans="1:10" ht="25.5" x14ac:dyDescent="0.2">
      <c r="A107" s="35"/>
      <c r="B107" s="36"/>
      <c r="C107" s="35"/>
      <c r="D107" s="39" t="s">
        <v>131</v>
      </c>
      <c r="E107" s="65">
        <v>0</v>
      </c>
      <c r="F107" s="65">
        <v>0</v>
      </c>
      <c r="G107" s="65">
        <v>0</v>
      </c>
      <c r="H107" s="65">
        <v>0</v>
      </c>
      <c r="I107" s="65">
        <v>0</v>
      </c>
      <c r="J107" s="65">
        <v>0</v>
      </c>
    </row>
    <row r="108" spans="1:10" x14ac:dyDescent="0.2">
      <c r="A108" s="35"/>
      <c r="B108" s="36"/>
      <c r="C108" s="35"/>
      <c r="D108" s="39" t="s">
        <v>132</v>
      </c>
      <c r="E108" s="65">
        <v>0</v>
      </c>
      <c r="F108" s="65">
        <v>0</v>
      </c>
      <c r="G108" s="65">
        <v>0</v>
      </c>
      <c r="H108" s="65">
        <v>0</v>
      </c>
      <c r="I108" s="65">
        <v>0</v>
      </c>
      <c r="J108" s="65">
        <v>0</v>
      </c>
    </row>
    <row r="109" spans="1:10" x14ac:dyDescent="0.2">
      <c r="A109" s="35"/>
      <c r="B109" s="36"/>
      <c r="C109" s="45"/>
      <c r="D109" s="46" t="s">
        <v>133</v>
      </c>
      <c r="E109" s="65">
        <v>0</v>
      </c>
      <c r="F109" s="65">
        <v>0</v>
      </c>
      <c r="G109" s="65">
        <v>0</v>
      </c>
      <c r="H109" s="65">
        <v>0</v>
      </c>
      <c r="I109" s="65">
        <v>0</v>
      </c>
      <c r="J109" s="65">
        <v>0</v>
      </c>
    </row>
    <row r="110" spans="1:10" ht="78.75" customHeight="1" x14ac:dyDescent="0.2">
      <c r="A110" s="8"/>
      <c r="B110" s="10"/>
      <c r="C110" s="56" t="s">
        <v>134</v>
      </c>
      <c r="D110" s="57"/>
      <c r="E110" s="65">
        <v>0</v>
      </c>
      <c r="F110" s="65">
        <v>0</v>
      </c>
      <c r="G110" s="65">
        <v>0</v>
      </c>
      <c r="H110" s="65">
        <v>0</v>
      </c>
      <c r="I110" s="65">
        <v>0</v>
      </c>
      <c r="J110" s="65">
        <v>0</v>
      </c>
    </row>
    <row r="111" spans="1:10" x14ac:dyDescent="0.2">
      <c r="A111" s="8"/>
      <c r="B111" s="10">
        <v>30</v>
      </c>
      <c r="C111" s="8"/>
      <c r="D111" s="11" t="s">
        <v>135</v>
      </c>
      <c r="E111" s="66">
        <f t="shared" ref="E111:J111" si="16">E113+E114+E115+E116+E112</f>
      </c>
      <c r="F111" s="66">
        <f t="shared" si="16"/>
      </c>
      <c r="G111" s="66">
        <f t="shared" si="16"/>
      </c>
      <c r="H111" s="66">
        <f t="shared" si="16"/>
      </c>
      <c r="I111" s="66">
        <f t="shared" si="16"/>
      </c>
      <c r="J111" s="66">
        <f t="shared" si="16"/>
      </c>
    </row>
    <row r="112" spans="1:10" x14ac:dyDescent="0.2">
      <c r="A112" s="8"/>
      <c r="B112" s="10"/>
      <c r="C112" s="21" t="s">
        <v>21</v>
      </c>
      <c r="D112" s="8" t="s">
        <v>136</v>
      </c>
      <c r="E112" s="65">
        <v>0</v>
      </c>
      <c r="F112" s="65">
        <v>0</v>
      </c>
      <c r="G112" s="65">
        <v>0</v>
      </c>
      <c r="H112" s="65">
        <v>0</v>
      </c>
      <c r="I112" s="65">
        <v>0</v>
      </c>
      <c r="J112" s="65">
        <v>0</v>
      </c>
    </row>
    <row r="113" spans="1:10" x14ac:dyDescent="0.2">
      <c r="A113" s="8"/>
      <c r="B113" s="10"/>
      <c r="C113" s="21" t="s">
        <v>25</v>
      </c>
      <c r="D113" s="8" t="s">
        <v>137</v>
      </c>
      <c r="E113" s="65">
        <v>0</v>
      </c>
      <c r="F113" s="65">
        <v>0</v>
      </c>
      <c r="G113" s="65">
        <v>0</v>
      </c>
      <c r="H113" s="65">
        <v>0</v>
      </c>
      <c r="I113" s="65">
        <v>0</v>
      </c>
      <c r="J113" s="65">
        <v>0</v>
      </c>
    </row>
    <row r="114" spans="1:10" x14ac:dyDescent="0.2">
      <c r="A114" s="8"/>
      <c r="B114" s="8"/>
      <c r="C114" s="21" t="s">
        <v>27</v>
      </c>
      <c r="D114" s="8" t="s">
        <v>138</v>
      </c>
      <c r="E114" s="65">
        <v>0</v>
      </c>
      <c r="F114" s="65">
        <v>0</v>
      </c>
      <c r="G114" s="65">
        <v>0</v>
      </c>
      <c r="H114" s="65">
        <v>0</v>
      </c>
      <c r="I114" s="65">
        <v>0</v>
      </c>
      <c r="J114" s="65">
        <v>0</v>
      </c>
    </row>
    <row r="115" spans="1:10" x14ac:dyDescent="0.2">
      <c r="A115" s="8"/>
      <c r="B115" s="8"/>
      <c r="C115" s="21" t="s">
        <v>37</v>
      </c>
      <c r="D115" s="8" t="s">
        <v>139</v>
      </c>
      <c r="E115" s="65">
        <v>0</v>
      </c>
      <c r="F115" s="65">
        <v>0</v>
      </c>
      <c r="G115" s="65">
        <v>0</v>
      </c>
      <c r="H115" s="65">
        <v>0</v>
      </c>
      <c r="I115" s="65">
        <v>0</v>
      </c>
      <c r="J115" s="65">
        <v>0</v>
      </c>
    </row>
    <row r="116" spans="1:10" x14ac:dyDescent="0.2">
      <c r="A116" s="8"/>
      <c r="B116" s="8"/>
      <c r="C116" s="8">
        <v>30</v>
      </c>
      <c r="D116" s="8" t="s">
        <v>140</v>
      </c>
      <c r="E116" s="65">
        <v>0</v>
      </c>
      <c r="F116" s="65">
        <v>0</v>
      </c>
      <c r="G116" s="65">
        <v>0</v>
      </c>
      <c r="H116" s="65">
        <v>0</v>
      </c>
      <c r="I116" s="65">
        <v>0</v>
      </c>
      <c r="J116" s="65">
        <v>0</v>
      </c>
    </row>
    <row r="117" spans="1:10" x14ac:dyDescent="0.2">
      <c r="A117" s="11">
        <v>59</v>
      </c>
      <c r="B117" s="8"/>
      <c r="C117" s="8"/>
      <c r="D117" s="11" t="s">
        <v>141</v>
      </c>
      <c r="E117" s="66">
        <f t="shared" ref="E117:J117" si="17">+E119+E118</f>
      </c>
      <c r="F117" s="66">
        <f t="shared" si="17"/>
      </c>
      <c r="G117" s="66">
        <f t="shared" si="17"/>
      </c>
      <c r="H117" s="66">
        <f t="shared" si="17"/>
      </c>
      <c r="I117" s="66">
        <f t="shared" si="17"/>
      </c>
      <c r="J117" s="66">
        <f t="shared" si="17"/>
      </c>
    </row>
    <row r="118" spans="1:10" x14ac:dyDescent="0.2">
      <c r="A118" s="11"/>
      <c r="B118" s="11">
        <v>17</v>
      </c>
      <c r="C118" s="8"/>
      <c r="D118" s="8" t="s">
        <v>142</v>
      </c>
      <c r="E118" s="65">
        <v>0</v>
      </c>
      <c r="F118" s="65">
        <v>0</v>
      </c>
      <c r="G118" s="65">
        <v>0</v>
      </c>
      <c r="H118" s="65">
        <v>0</v>
      </c>
      <c r="I118" s="65">
        <v>0</v>
      </c>
      <c r="J118" s="65">
        <v>0</v>
      </c>
    </row>
    <row r="119" spans="1:10" x14ac:dyDescent="0.2">
      <c r="A119" s="8"/>
      <c r="B119" s="11">
        <v>40</v>
      </c>
      <c r="C119" s="8"/>
      <c r="D119" s="8" t="s">
        <v>143</v>
      </c>
      <c r="E119" s="65">
        <v>0</v>
      </c>
      <c r="F119" s="65">
        <v>0</v>
      </c>
      <c r="G119" s="65">
        <v>0</v>
      </c>
      <c r="H119" s="65">
        <v>0</v>
      </c>
      <c r="I119" s="65">
        <v>0</v>
      </c>
      <c r="J119" s="65">
        <v>0</v>
      </c>
    </row>
    <row r="120" spans="1:10" x14ac:dyDescent="0.2">
      <c r="A120" s="11">
        <v>70</v>
      </c>
      <c r="B120" s="8"/>
      <c r="C120" s="8"/>
      <c r="D120" s="11" t="s">
        <v>144</v>
      </c>
      <c r="E120" s="66">
        <f t="shared" ref="E120:J120" si="18">E121</f>
      </c>
      <c r="F120" s="66">
        <f t="shared" si="18"/>
      </c>
      <c r="G120" s="66">
        <f t="shared" si="18"/>
      </c>
      <c r="H120" s="66">
        <f t="shared" si="18"/>
      </c>
      <c r="I120" s="66">
        <f t="shared" si="18"/>
      </c>
      <c r="J120" s="66">
        <f t="shared" si="18"/>
      </c>
    </row>
    <row r="121" spans="1:10" x14ac:dyDescent="0.2">
      <c r="A121" s="11">
        <v>71</v>
      </c>
      <c r="B121" s="8"/>
      <c r="C121" s="8"/>
      <c r="D121" s="11" t="s">
        <v>145</v>
      </c>
      <c r="E121" s="66">
        <f t="shared" ref="E121:J121" si="19">E122+E127</f>
      </c>
      <c r="F121" s="66">
        <f t="shared" si="19"/>
      </c>
      <c r="G121" s="66">
        <f t="shared" si="19"/>
      </c>
      <c r="H121" s="66">
        <f t="shared" si="19"/>
      </c>
      <c r="I121" s="66">
        <f t="shared" si="19"/>
      </c>
      <c r="J121" s="66">
        <f t="shared" si="19"/>
      </c>
    </row>
    <row r="122" spans="1:10" x14ac:dyDescent="0.2">
      <c r="A122" s="8"/>
      <c r="B122" s="10" t="s">
        <v>21</v>
      </c>
      <c r="C122" s="21"/>
      <c r="D122" s="11" t="s">
        <v>146</v>
      </c>
      <c r="E122" s="66">
        <f t="shared" ref="E122:J122" si="20">E123+E124+E125+E126</f>
      </c>
      <c r="F122" s="66">
        <f t="shared" si="20"/>
      </c>
      <c r="G122" s="66">
        <f t="shared" si="20"/>
      </c>
      <c r="H122" s="66">
        <f t="shared" si="20"/>
      </c>
      <c r="I122" s="66">
        <f t="shared" si="20"/>
      </c>
      <c r="J122" s="66">
        <f t="shared" si="20"/>
      </c>
    </row>
    <row r="123" spans="1:10" x14ac:dyDescent="0.2">
      <c r="A123" s="8"/>
      <c r="B123" s="8"/>
      <c r="C123" s="21" t="s">
        <v>21</v>
      </c>
      <c r="D123" s="8" t="s">
        <v>147</v>
      </c>
      <c r="E123" s="65">
        <v>0</v>
      </c>
      <c r="F123" s="65">
        <v>0</v>
      </c>
      <c r="G123" s="65">
        <v>0</v>
      </c>
      <c r="H123" s="65">
        <v>0</v>
      </c>
      <c r="I123" s="65">
        <v>0</v>
      </c>
      <c r="J123" s="65">
        <v>0</v>
      </c>
    </row>
    <row r="124" spans="1:10" x14ac:dyDescent="0.2">
      <c r="A124" s="8"/>
      <c r="B124" s="8"/>
      <c r="C124" s="21" t="s">
        <v>23</v>
      </c>
      <c r="D124" s="8" t="s">
        <v>148</v>
      </c>
      <c r="E124" s="65">
        <v>0</v>
      </c>
      <c r="F124" s="65">
        <v>0</v>
      </c>
      <c r="G124" s="65">
        <v>0</v>
      </c>
      <c r="H124" s="65">
        <v>0</v>
      </c>
      <c r="I124" s="65">
        <v>0</v>
      </c>
      <c r="J124" s="65">
        <v>0</v>
      </c>
    </row>
    <row r="125" spans="1:10" x14ac:dyDescent="0.2">
      <c r="A125" s="8"/>
      <c r="B125" s="8"/>
      <c r="C125" s="21" t="s">
        <v>25</v>
      </c>
      <c r="D125" s="8" t="s">
        <v>149</v>
      </c>
      <c r="E125" s="65">
        <v>0</v>
      </c>
      <c r="F125" s="65">
        <v>0</v>
      </c>
      <c r="G125" s="65">
        <v>0</v>
      </c>
      <c r="H125" s="65">
        <v>0</v>
      </c>
      <c r="I125" s="65">
        <v>0</v>
      </c>
      <c r="J125" s="65">
        <v>0</v>
      </c>
    </row>
    <row r="126" spans="1:10" x14ac:dyDescent="0.2">
      <c r="A126" s="8"/>
      <c r="B126" s="8"/>
      <c r="C126" s="21" t="s">
        <v>150</v>
      </c>
      <c r="D126" s="8" t="s">
        <v>151</v>
      </c>
      <c r="E126" s="65">
        <v>0</v>
      </c>
      <c r="F126" s="65">
        <v>0</v>
      </c>
      <c r="G126" s="65">
        <v>0</v>
      </c>
      <c r="H126" s="65">
        <v>0</v>
      </c>
      <c r="I126" s="65">
        <v>0</v>
      </c>
      <c r="J126" s="65">
        <v>0</v>
      </c>
    </row>
    <row r="127" spans="1:10" x14ac:dyDescent="0.2">
      <c r="A127" s="8"/>
      <c r="B127" s="10" t="s">
        <v>25</v>
      </c>
      <c r="C127" s="21"/>
      <c r="D127" s="8" t="s">
        <v>152</v>
      </c>
      <c r="E127" s="65">
        <v>0</v>
      </c>
      <c r="F127" s="65">
        <v>0</v>
      </c>
      <c r="G127" s="65">
        <v>0</v>
      </c>
      <c r="H127" s="65">
        <v>0</v>
      </c>
      <c r="I127" s="65">
        <v>0</v>
      </c>
      <c r="J127" s="65">
        <v>0</v>
      </c>
    </row>
    <row r="128" spans="1:10" ht="15" customHeight="1" x14ac:dyDescent="0.2">
      <c r="A128" s="8"/>
      <c r="B128" s="10">
        <v>85</v>
      </c>
      <c r="C128" s="21"/>
      <c r="D128" s="47" t="s">
        <v>153</v>
      </c>
      <c r="E128" s="65">
        <v>0</v>
      </c>
      <c r="F128" s="65">
        <v>0</v>
      </c>
      <c r="G128" s="65">
        <v>0</v>
      </c>
      <c r="H128" s="65">
        <v>0</v>
      </c>
      <c r="I128" s="65">
        <v>0</v>
      </c>
      <c r="J128" s="65">
        <v>0</v>
      </c>
    </row>
    <row r="129" spans="1:10" ht="15" customHeight="1" x14ac:dyDescent="0.2">
      <c r="A129" s="4"/>
      <c r="B129" s="48"/>
      <c r="C129" s="49"/>
      <c r="D129" s="20"/>
      <c r="E129" s="14"/>
      <c r="F129" s="14"/>
      <c r="G129" s="14"/>
      <c r="H129" s="14"/>
      <c r="I129" s="14"/>
      <c r="J129" s="14"/>
    </row>
    <row r="130" spans="1:10" s="50" customFormat="1" ht="15" x14ac:dyDescent="0.2">
      <c r="A130" s="58" t="s">
        <v>154</v>
      </c>
      <c r="B130" s="58"/>
      <c r="C130" s="58"/>
      <c r="D130" s="58"/>
      <c r="E130" s="58"/>
      <c r="F130" s="58"/>
      <c r="G130" s="58"/>
      <c r="H130" s="58"/>
      <c r="I130" s="58"/>
      <c r="J130" s="58"/>
    </row>
    <row r="131" spans="1:10" s="50" customFormat="1" x14ac:dyDescent="0.2">
      <c r="A131" s="4"/>
      <c r="B131" s="51"/>
      <c r="C131" s="4"/>
      <c r="D131" s="4"/>
      <c r="E131" s="4"/>
      <c r="F131" s="4"/>
      <c r="G131" s="4"/>
      <c r="H131" s="4"/>
      <c r="I131" s="4"/>
      <c r="J131" s="4"/>
    </row>
    <row r="132" spans="1:10" s="50" customFormat="1" x14ac:dyDescent="0.2">
      <c r="A132" s="4"/>
      <c r="B132" s="52"/>
      <c r="C132" s="52"/>
      <c r="D132" s="52"/>
      <c r="E132" s="3"/>
      <c r="F132" s="53"/>
      <c r="G132" s="3"/>
      <c r="H132" s="54"/>
      <c r="I132" s="55"/>
      <c r="J132" s="55"/>
    </row>
  </sheetData>
  <sheetProtection algorithmName="SHA-512" hashValue="CQu/i6z71fINk5RaE/6amvqnZwhBHkouLlW0Ay4lrc1bJ/5KknDXwUun3EI4ElVpOdh0vWvZ0Fs9/VUimvkqNQ==" saltValue="ey+wBTB842XtXrse23hWUA==" spinCount="100000" sheet="1" objects="1" scenarios="1"/>
  <mergeCells count="8">
    <mergeCell ref="C110:D110"/>
    <mergeCell ref="A130:J130"/>
    <mergeCell ref="M20:P22"/>
    <mergeCell ref="A1:D1"/>
    <mergeCell ref="B3:J3"/>
    <mergeCell ref="B4:J4"/>
    <mergeCell ref="N6:N7"/>
    <mergeCell ref="M19:P19"/>
  </mergeCells>
  <printOptions horizontalCentered="1"/>
  <pageMargins left="0" right="0" top="0" bottom="0" header="0" footer="0"/>
  <pageSetup paperSize="9" scale="71" orientation="portrait" horizontalDpi="4294967294" verticalDpi="4294967294" r:id="rId1"/>
  <headerFooter alignWithMargins="0"/>
  <rowBreaks count="1" manualBreakCount="1">
    <brk id="61"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Foi de lucru</vt:lpstr>
      </vt:variant>
      <vt:variant>
        <vt:i4>1</vt:i4>
      </vt:variant>
      <vt:variant>
        <vt:lpstr>Zone denumite</vt:lpstr>
      </vt:variant>
      <vt:variant>
        <vt:i4>2</vt:i4>
      </vt:variant>
    </vt:vector>
  </HeadingPairs>
  <TitlesOfParts>
    <vt:vector size="3" baseType="lpstr">
      <vt:lpstr>BC</vt:lpstr>
      <vt:lpstr>BC!Imprimare_titluri</vt:lpstr>
      <vt:lpstr>BC!Zona_de_imprimat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2024-11-13T08:39:05Z</dcterms:created>
  <dcterms:modified xsi:type="dcterms:W3CDTF">2026-01-19T09:20:40Z</dcterms:modified>
</cp:coreProperties>
</file>